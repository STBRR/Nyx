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Web" sheetId="2" state="visible" r:id="rId4"/>
    <sheet name="Infrastructure" sheetId="3" state="visible" r:id="rId5"/>
    <sheet name="Active Directo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<sst xmlns="http://schemas.openxmlformats.org/spreadsheetml/2006/main" count="578" uniqueCount="571">
  <si>
    <t xml:space="preserve">  NIX — Assessment Overview</t>
  </si>
  <si>
    <t xml:space="preserve">Sheet / Section</t>
  </si>
  <si>
    <t xml:space="preserve">Total</t>
  </si>
  <si>
    <t xml:space="preserve">OK</t>
  </si>
  <si>
    <t xml:space="preserve">Finding</t>
  </si>
  <si>
    <t xml:space="preserve">Investigate</t>
  </si>
  <si>
    <t xml:space="preserve">  Web</t>
  </si>
  <si>
    <t xml:space="preserve">    Reconnaissance &amp; Scope Mapping</t>
  </si>
  <si>
    <t xml:space="preserve">    Technology Fingerprinting</t>
  </si>
  <si>
    <t xml:space="preserve">    Authentication</t>
  </si>
  <si>
    <t xml:space="preserve">    Session Management</t>
  </si>
  <si>
    <t xml:space="preserve">    Authorisation &amp; Access Control</t>
  </si>
  <si>
    <t xml:space="preserve">    Input Validation &amp; Injection</t>
  </si>
  <si>
    <t xml:space="preserve">    File Upload</t>
  </si>
  <si>
    <t xml:space="preserve">    Cross-Site Request Forgery (CSRF)</t>
  </si>
  <si>
    <t xml:space="preserve">    Server-Side Request Forgery (SSRF)</t>
  </si>
  <si>
    <t xml:space="preserve">    Business Logic</t>
  </si>
  <si>
    <t xml:space="preserve">    API Testing</t>
  </si>
  <si>
    <t xml:space="preserve">    Cryptography &amp; Transport Security</t>
  </si>
  <si>
    <t xml:space="preserve">    Information Disclosure</t>
  </si>
  <si>
    <t xml:space="preserve">    HTTP Headers &amp; Security Misconfigurations</t>
  </si>
  <si>
    <t xml:space="preserve">    Rate Limiting &amp; DoS</t>
  </si>
  <si>
    <t xml:space="preserve">    Post-Exploitation &amp; Impact Assessment</t>
  </si>
  <si>
    <t xml:space="preserve">  Infrastructure</t>
  </si>
  <si>
    <t xml:space="preserve">    Pre-Engagement &amp; Scoping</t>
  </si>
  <si>
    <t xml:space="preserve">    External Reconnaissance (OSINT)</t>
  </si>
  <si>
    <t xml:space="preserve">    Network Scanning &amp; Enumeration</t>
  </si>
  <si>
    <t xml:space="preserve">    Service Enumeration</t>
  </si>
  <si>
    <t xml:space="preserve">    Vulnerability Assessment</t>
  </si>
  <si>
    <t xml:space="preserve">    Credential Attacks</t>
  </si>
  <si>
    <t xml:space="preserve">    Network Attacks</t>
  </si>
  <si>
    <t xml:space="preserve">    Linux Post-Exploitation &amp; Privilege Escalation</t>
  </si>
  <si>
    <t xml:space="preserve">    Windows Post-Exploitation &amp; Privilege Escalation</t>
  </si>
  <si>
    <t xml:space="preserve">    Lateral Movement</t>
  </si>
  <si>
    <t xml:space="preserve">    Pivoting &amp; Tunnelling</t>
  </si>
  <si>
    <t xml:space="preserve">    Reporting &amp; Evidence Collection</t>
  </si>
  <si>
    <t xml:space="preserve">  Active Directory</t>
  </si>
  <si>
    <t xml:space="preserve">    Pre-Engagement</t>
  </si>
  <si>
    <t xml:space="preserve">    Unauthenticated Enumeration (No Credentials)</t>
  </si>
  <si>
    <t xml:space="preserve">    Password Attacks</t>
  </si>
  <si>
    <t xml:space="preserve">    Authenticated Enumeration (With Credentials)</t>
  </si>
  <si>
    <t xml:space="preserve">    Kerberos Attacks</t>
  </si>
  <si>
    <t xml:space="preserve">    ACL / ACE Abuse</t>
  </si>
  <si>
    <t xml:space="preserve">    Delegation Attacks</t>
  </si>
  <si>
    <t xml:space="preserve">    Active Directory Certificate Services (ADCS)</t>
  </si>
  <si>
    <t xml:space="preserve">    Domain Privilege Escalation</t>
  </si>
  <si>
    <t xml:space="preserve">    Domain Persistence</t>
  </si>
  <si>
    <t xml:space="preserve">    Forest &amp; Trust Attacks</t>
  </si>
  <si>
    <t xml:space="preserve">    Key Tools Reference</t>
  </si>
  <si>
    <t xml:space="preserve">  TOTALS</t>
  </si>
  <si>
    <t xml:space="preserve">Not Started</t>
  </si>
  <si>
    <t xml:space="preserve">  Web — Penetration Testing Checklist</t>
  </si>
  <si>
    <t xml:space="preserve">Status</t>
  </si>
  <si>
    <t xml:space="preserve">  Reconnaissance &amp; Scope Mapping</t>
  </si>
  <si>
    <t xml:space="preserve">  Confirm scope — domains, subdomains, IPs, and any out-of-scope assets</t>
  </si>
  <si>
    <t xml:space="preserve">  Identify all subdomains via passive enumeration (subfinder, amass, dnsx)</t>
  </si>
  <si>
    <t xml:space="preserve">  Perform active subdomain brute-forcing</t>
  </si>
  <si>
    <t xml:space="preserve">  Check DNS records (A, MX, TXT, CNAME, NS) for misconfigurations</t>
  </si>
  <si>
    <t xml:space="preserve">  Identify IP ranges and ASN ownership</t>
  </si>
  <si>
    <t xml:space="preserve">  Check for cloud asset exposure (S3 buckets, Azure Blobs, GCP Storage)</t>
  </si>
  <si>
    <t xml:space="preserve">  Enumerate live hosts and open ports (nmap, httpx)</t>
  </si>
  <si>
    <t xml:space="preserve">  Identify web server software and version via headers and fingerprinting</t>
  </si>
  <si>
    <t xml:space="preserve">  Review robots.txt, sitemap.xml, and .well-known/ endpoints</t>
  </si>
  <si>
    <t xml:space="preserve">  Check for exposed Git repos (/.git/, GitTools, git-dumper)</t>
  </si>
  <si>
    <t xml:space="preserve">  Search for exposed environment files (/.env, /config.yml, /application.properties)</t>
  </si>
  <si>
    <t xml:space="preserve">  Check Wayback Machine / CommonCrawl for historical endpoints</t>
  </si>
  <si>
    <t xml:space="preserve">  Use Google dorks for sensitive file exposure</t>
  </si>
  <si>
    <t xml:space="preserve">  Review job postings and GitHub for technology stack leakage</t>
  </si>
  <si>
    <t xml:space="preserve">  Identify third-party integrations and external JS includes</t>
  </si>
  <si>
    <t xml:space="preserve">  Technology Fingerprinting</t>
  </si>
  <si>
    <t xml:space="preserve">  Identify frontend framework (React, Angular, Vue, jQuery)</t>
  </si>
  <si>
    <t xml:space="preserve">  Identify backend language and framework (PHP, Python/Django/Flask, Ruby on Rails, Node/Express, Java/Spring)</t>
  </si>
  <si>
    <t xml:space="preserve">  Identify CMS (WordPress, Drupal, Joomla) and check version</t>
  </si>
  <si>
    <t xml:space="preserve">  Identify WAF presence and vendor (wafw00f)</t>
  </si>
  <si>
    <t xml:space="preserve">  Check response headers for technology leakage (X-Powered-By, Server, X-Generator)</t>
  </si>
  <si>
    <t xml:space="preserve">  Review JavaScript files for API endpoints, secrets, and internal tooling references</t>
  </si>
  <si>
    <t xml:space="preserve">  Identify CDN provider and origin IP disclosure</t>
  </si>
  <si>
    <t xml:space="preserve">  Check for GraphQL endpoint (/graphql, /api/graphql) and enable introspection</t>
  </si>
  <si>
    <t xml:space="preserve">  Authentication</t>
  </si>
  <si>
    <t xml:space="preserve">  Username enumeration via difference in error messages</t>
  </si>
  <si>
    <t xml:space="preserve">  Username enumeration via response timing differences</t>
  </si>
  <si>
    <t xml:space="preserve">  Username enumeration via account lockout behaviour differences</t>
  </si>
  <si>
    <t xml:space="preserve">  Test for default credentials on admin panels and third-party components</t>
  </si>
  <si>
    <t xml:space="preserve">  Test for weak password policy enforcement (minimum length, complexity)</t>
  </si>
  <si>
    <t xml:space="preserve">  Test login form for SQL injection (manual and SQLMap)</t>
  </si>
  <si>
    <t xml:space="preserve">  Test for authentication bypass via parameter manipulation</t>
  </si>
  <si>
    <t xml:space="preserve">  Check if account lockout is enforced after repeated failed attempts</t>
  </si>
  <si>
    <t xml:space="preserve">  Test password reset flow for token predictability or reuse</t>
  </si>
  <si>
    <t xml:space="preserve">  Test password reset links for expiry enforcement</t>
  </si>
  <si>
    <t xml:space="preserve">  Check if password reset tokens are exposed in referrer headers or logs</t>
  </si>
  <si>
    <t xml:space="preserve">  Test for host header injection on password reset emails</t>
  </si>
  <si>
    <t xml:space="preserve">  Check for concurrent session handling issues (multiple simultaneous logins)</t>
  </si>
  <si>
    <t xml:space="preserve">  Test OAuth2 flow for state parameter absence (CSRF on authorisation)</t>
  </si>
  <si>
    <t xml:space="preserve">  Test OAuth2 for redirect_uri bypass and open redirect chaining</t>
  </si>
  <si>
    <t xml:space="preserve">  Check for OAuth2 token leakage via referrer header</t>
  </si>
  <si>
    <t xml:space="preserve">  Test SAML assertions for signature wrapping attacks</t>
  </si>
  <si>
    <t xml:space="preserve">  Test MFA for bypass via response manipulation</t>
  </si>
  <si>
    <t xml:space="preserve">  Test MFA for brute-force protection on OTP codes</t>
  </si>
  <si>
    <t xml:space="preserve">  Check if MFA can be skipped by directly navigating to post-login URLs</t>
  </si>
  <si>
    <t xml:space="preserve">  Session Management</t>
  </si>
  <si>
    <t xml:space="preserve">  Analyse session token entropy and predictability</t>
  </si>
  <si>
    <t xml:space="preserve">  Check if session token changes on login (session fixation)</t>
  </si>
  <si>
    <t xml:space="preserve">  Check if session token changes on logout</t>
  </si>
  <si>
    <t xml:space="preserve">  Verify session is invalidated server-side on logout</t>
  </si>
  <si>
    <t xml:space="preserve">  Check cookie attributes: Secure, HttpOnly, SameSite</t>
  </si>
  <si>
    <t xml:space="preserve">  Test for session token exposure in URL parameters</t>
  </si>
  <si>
    <t xml:space="preserve">  Check session timeout enforcement (idle and absolute)</t>
  </si>
  <si>
    <t xml:space="preserve">  Test for JWT algorithm confusion (RS256 to HS256)</t>
  </si>
  <si>
    <t xml:space="preserve">  Test for JWT none algorithm acceptance</t>
  </si>
  <si>
    <t xml:space="preserve">  Check JWT claims for privilege escalation opportunities (role, admin, user_id)</t>
  </si>
  <si>
    <t xml:space="preserve">  Test JWT for weak signing secret (brute force with hashcat/jwt_tool)</t>
  </si>
  <si>
    <t xml:space="preserve">  Check if JWT expiry (exp) is enforced server-side</t>
  </si>
  <si>
    <t xml:space="preserve">  Test for JWT kid header injection (SQL injection, path traversal)</t>
  </si>
  <si>
    <t xml:space="preserve">  Authorisation &amp; Access Control</t>
  </si>
  <si>
    <t xml:space="preserve">  Test all authenticated endpoints for unauthenticated access</t>
  </si>
  <si>
    <t xml:space="preserve">  Test for Insecure Direct Object References (IDOR) on all resource identifiers</t>
  </si>
  <si>
    <t xml:space="preserve">  Test horizontal privilege escalation (accessing another user's resources)</t>
  </si>
  <si>
    <t xml:space="preserve">  Test vertical privilege escalation (accessing higher privilege functionality)</t>
  </si>
  <si>
    <t xml:space="preserve">  Test for IDOR on numeric IDs, GUIDs, usernames, and email addresses</t>
  </si>
  <si>
    <t xml:space="preserve">  Test for IDOR via HTTP method manipulation (GET → POST, PUT, DELETE)</t>
  </si>
  <si>
    <t xml:space="preserve">  Test for IDOR on file download and upload endpoints</t>
  </si>
  <si>
    <t xml:space="preserve">  Check if API endpoints enforce the same access controls as the UI</t>
  </si>
  <si>
    <t xml:space="preserve">  Test for forced browsing to admin functionality</t>
  </si>
  <si>
    <t xml:space="preserve">  Check for role or permission parameters that can be manipulated client-side</t>
  </si>
  <si>
    <t xml:space="preserve">  Test multi-tenancy isolation — can one tenant access another's data?</t>
  </si>
  <si>
    <t xml:space="preserve">  Test account switching / impersonation functionality for authorisation flaws</t>
  </si>
  <si>
    <t xml:space="preserve">  Input Validation &amp; Injection</t>
  </si>
  <si>
    <t xml:space="preserve">  Test all user-supplied input for SQL injection (GET, POST, Headers, Cookies)</t>
  </si>
  <si>
    <t xml:space="preserve">  Test for error-based SQL injection</t>
  </si>
  <si>
    <t xml:space="preserve">  Test for blind boolean-based SQL injection</t>
  </si>
  <si>
    <t xml:space="preserve">  Test for time-based blind SQL injection</t>
  </si>
  <si>
    <t xml:space="preserve">  Test for second-order SQL injection</t>
  </si>
  <si>
    <t xml:space="preserve">  Test for SQL injection in ORDER BY and LIMIT clauses</t>
  </si>
  <si>
    <t xml:space="preserve">  Use SQLMap for automated confirmation and extraction</t>
  </si>
  <si>
    <t xml:space="preserve">  Test all reflected input fields for reflected XSS</t>
  </si>
  <si>
    <t xml:space="preserve">  Test stored input fields for stored XSS (comments, profiles, names)</t>
  </si>
  <si>
    <t xml:space="preserve">  Test for DOM-based XSS via client-side JavaScript source/sink analysis</t>
  </si>
  <si>
    <t xml:space="preserve">  Test for XSS filter bypass via encoding, case variation, and tag confusion</t>
  </si>
  <si>
    <t xml:space="preserve">  Check for XSS in HTTP headers rendered in responses (User-Agent, Referer)</t>
  </si>
  <si>
    <t xml:space="preserve">  Test for XSS in file upload filenames and metadata</t>
  </si>
  <si>
    <t xml:space="preserve">  Test for XSS in SVG file uploads</t>
  </si>
  <si>
    <t xml:space="preserve">  Assess impact — can XSS be used to steal sessions, perform CSRF, or escalate?</t>
  </si>
  <si>
    <t xml:space="preserve">  Test for OS command injection in any functionality that interacts with the system (ping, traceroute, file conversion, DNS lookup features)</t>
  </si>
  <si>
    <t xml:space="preserve">  Test blind command injection via time delays and out-of-band (OAST) techniques</t>
  </si>
  <si>
    <t xml:space="preserve">  Test for argument injection where full command injection is not possible</t>
  </si>
  <si>
    <t xml:space="preserve">  Test all XML input for XXE (file read, SSRF, blind OOB XXE)</t>
  </si>
  <si>
    <t xml:space="preserve">  Test for XXE via file upload (SVG, DOCX, XLSX, PDF parsers)</t>
  </si>
  <si>
    <t xml:space="preserve">  Test for XXE in SAML requests</t>
  </si>
  <si>
    <t xml:space="preserve">  Test for XXE when JSON can be switched to XML via Content-Type manipulation</t>
  </si>
  <si>
    <t xml:space="preserve">  Test for SSTI in all reflected user input using polyglot payloads</t>
  </si>
  <si>
    <t xml:space="preserve">  Identify template engine via error messages and engine-specific payloads</t>
  </si>
  <si>
    <t xml:space="preserve">  Test for client-side template injection (AngularJS, Vue)</t>
  </si>
  <si>
    <t xml:space="preserve">  Test for path traversal in file download, include, and upload functionality</t>
  </si>
  <si>
    <t xml:space="preserve">  Test with encoding variations (URL encode, double encode, Unicode)</t>
  </si>
  <si>
    <t xml:space="preserve">  Test on Windows targets with backslash variations</t>
  </si>
  <si>
    <t xml:space="preserve">  Attempt to read sensitive files (/etc/passwd, web.config, application source)</t>
  </si>
  <si>
    <t xml:space="preserve">  File Upload</t>
  </si>
  <si>
    <t xml:space="preserve">  Test for unrestricted file upload (no extension validation)</t>
  </si>
  <si>
    <t xml:space="preserve">  Test for MIME type bypass (change Content-Type to image/jpeg)</t>
  </si>
  <si>
    <t xml:space="preserve">  Test for extension bypass (double extension, null byte, case variation)</t>
  </si>
  <si>
    <t xml:space="preserve">  Test for web shell upload and execution</t>
  </si>
  <si>
    <t xml:space="preserve">  Check upload destination — is it within the webroot?</t>
  </si>
  <si>
    <t xml:space="preserve">  Test for path traversal in filename parameter</t>
  </si>
  <si>
    <t xml:space="preserve">  Test for stored XSS via SVG upload</t>
  </si>
  <si>
    <t xml:space="preserve">  Test for XXE via XML-based file format upload</t>
  </si>
  <si>
    <t xml:space="preserve">  Check if uploaded files can be directly accessed by other users (IDOR)</t>
  </si>
  <si>
    <t xml:space="preserve">  Test file size limits and assess DoS potential</t>
  </si>
  <si>
    <t xml:space="preserve">  Cross-Site Request Forgery (CSRF)</t>
  </si>
  <si>
    <t xml:space="preserve">  Check for CSRF token presence on all state-changing requests</t>
  </si>
  <si>
    <t xml:space="preserve">  Test if CSRF token is validated server-side (remove or modify token)</t>
  </si>
  <si>
    <t xml:space="preserve">  Test if CSRF token is tied to the user session</t>
  </si>
  <si>
    <t xml:space="preserve">  Test for CSRF via GET request on state-changing actions</t>
  </si>
  <si>
    <t xml:space="preserve">  Check SameSite cookie attribute — None/Lax/Strict implications</t>
  </si>
  <si>
    <t xml:space="preserve">  Test for CSRF on logout functionality</t>
  </si>
  <si>
    <t xml:space="preserve">  Test for CSRF bypass via content-type manipulation (JSON → form-data)</t>
  </si>
  <si>
    <t xml:space="preserve">  Server-Side Request Forgery (SSRF)</t>
  </si>
  <si>
    <t xml:space="preserve">  Identify all functionality that fetches remote URLs (webhooks, integrations, PDF generators, image fetchers)</t>
  </si>
  <si>
    <t xml:space="preserve">  Test for SSRF to internal metadata service (169.254.169.254 for AWS/GCP/Azure)</t>
  </si>
  <si>
    <t xml:space="preserve">  Test for SSRF to internal network hosts and services</t>
  </si>
  <si>
    <t xml:space="preserve">  Test for blind SSRF via out-of-band (Burp Collaborator / interactsh)</t>
  </si>
  <si>
    <t xml:space="preserve">  Test for SSRF bypass via DNS rebinding, IP encoding variations, and redirects</t>
  </si>
  <si>
    <t xml:space="preserve">  Test for SSRF via file:// and dict:// protocol handlers</t>
  </si>
  <si>
    <t xml:space="preserve">  Chain SSRF with internal service exploitation (Redis, Elasticsearch, internal APIs)</t>
  </si>
  <si>
    <t xml:space="preserve">  Business Logic</t>
  </si>
  <si>
    <t xml:space="preserve">  Map all application workflows and identify multi-step processes</t>
  </si>
  <si>
    <t xml:space="preserve">  Test for ability to skip steps in multi-stage workflows</t>
  </si>
  <si>
    <t xml:space="preserve">  Test for negative values in quantity, price, or transfer amount fields</t>
  </si>
  <si>
    <t xml:space="preserve">  Test for race conditions on critical actions (payments, coupon redemption, transfers)</t>
  </si>
  <si>
    <t xml:space="preserve">  Test for coupon/voucher reuse after single-use validation</t>
  </si>
  <si>
    <t xml:space="preserve">  Test for price manipulation in purchase flows (modify hidden price fields)</t>
  </si>
  <si>
    <t xml:space="preserve">  Test for mass assignment — can extra fields be submitted to elevate privileges?</t>
  </si>
  <si>
    <t xml:space="preserve">  Test for account enumeration via business logic differences (checkout, invite flows)</t>
  </si>
  <si>
    <t xml:space="preserve">  Test for feature access without entitlement (premium features on free accounts)</t>
  </si>
  <si>
    <t xml:space="preserve">  API Testing</t>
  </si>
  <si>
    <t xml:space="preserve">  Enumerate all API endpoints (Swagger/OpenAPI docs, JS file analysis, spider)</t>
  </si>
  <si>
    <t xml:space="preserve">  Test for unauthenticated access to API endpoints</t>
  </si>
  <si>
    <t xml:space="preserve">  Test all HTTP methods on each endpoint (GET, POST, PUT, PATCH, DELETE, OPTIONS)</t>
  </si>
  <si>
    <t xml:space="preserve">  Test for mass assignment in API object creation and update endpoints</t>
  </si>
  <si>
    <t xml:space="preserve">  Test for API versioning issues (v1 endpoint lacks controls enforced in v2)</t>
  </si>
  <si>
    <t xml:space="preserve">  Test for excessive data exposure in API responses</t>
  </si>
  <si>
    <t xml:space="preserve">  Test GraphQL for introspection enabled in production</t>
  </si>
  <si>
    <t xml:space="preserve">  Test GraphQL for batch query abuse and field-level authorisation</t>
  </si>
  <si>
    <t xml:space="preserve">  Test GraphQL for injection via query arguments</t>
  </si>
  <si>
    <t xml:space="preserve">  Test for rate limiting on sensitive API endpoints (login, OTP, password reset)</t>
  </si>
  <si>
    <t xml:space="preserve">  Cryptography &amp; Transport Security</t>
  </si>
  <si>
    <t xml:space="preserve">  Verify HTTPS is enforced across all endpoints (no HTTP fallback)</t>
  </si>
  <si>
    <t xml:space="preserve">  Check TLS version and cipher suite strength (testssl.sh)</t>
  </si>
  <si>
    <t xml:space="preserve">  Check for HSTS header presence and max-age value</t>
  </si>
  <si>
    <t xml:space="preserve">  Check for mixed content issues (HTTP resources on HTTPS pages)</t>
  </si>
  <si>
    <t xml:space="preserve">  Check for sensitive data transmitted in URL parameters (visible in logs/history)</t>
  </si>
  <si>
    <t xml:space="preserve">  Verify sensitive data is not cached (Cache-Control, Pragma headers)</t>
  </si>
  <si>
    <t xml:space="preserve">  Check for certificate pinning on mobile/thick clients</t>
  </si>
  <si>
    <t xml:space="preserve">  Information Disclosure</t>
  </si>
  <si>
    <t xml:space="preserve">  Review all error messages for stack traces, version info, or internal paths</t>
  </si>
  <si>
    <t xml:space="preserve">  Test for verbose error messages by sending malformed input</t>
  </si>
  <si>
    <t xml:space="preserve">  Check HTTP response headers for internal IP addresses or hostnames</t>
  </si>
  <si>
    <t xml:space="preserve">  Check HTML source comments for credentials, internal references, or TODOs</t>
  </si>
  <si>
    <t xml:space="preserve">  Check JavaScript files for hardcoded API keys, tokens, or credentials</t>
  </si>
  <si>
    <t xml:space="preserve">  Test for directory listing on web directories</t>
  </si>
  <si>
    <t xml:space="preserve">  Check for backup files (.bak, .old, .orig, ~) on known file paths</t>
  </si>
  <si>
    <t xml:space="preserve">  Check for exposed admin interfaces (/admin, /manager, /phpmyadmin, /console)</t>
  </si>
  <si>
    <t xml:space="preserve">  Test for source code disclosure (.php~, .php.bak, .git leakage)</t>
  </si>
  <si>
    <t xml:space="preserve">  HTTP Headers &amp; Security Misconfigurations</t>
  </si>
  <si>
    <t xml:space="preserve">  Check for Content-Security-Policy (CSP) header and assess strictness</t>
  </si>
  <si>
    <t xml:space="preserve">  Check for X-Frame-Options or CSP frame-ancestors (clickjacking)</t>
  </si>
  <si>
    <t xml:space="preserve">  Check for X-Content-Type-Options: nosniff</t>
  </si>
  <si>
    <t xml:space="preserve">  Check for Referrer-Policy header</t>
  </si>
  <si>
    <t xml:space="preserve">  Check for Permissions-Policy header</t>
  </si>
  <si>
    <t xml:space="preserve">  Test for CORS misconfiguration — does the server reflect arbitrary Origins?</t>
  </si>
  <si>
    <t xml:space="preserve">  Test for CORS with null origin acceptance</t>
  </si>
  <si>
    <t xml:space="preserve">  Test CORS with credentialed requests (withCredentials: true)</t>
  </si>
  <si>
    <t xml:space="preserve">  Check OPTIONS responses for overly permissive CORS configuration</t>
  </si>
  <si>
    <t xml:space="preserve">  Test for HTTP request smuggling (CL.TE, TE.CL) using Burp's HTTP Request Smuggler</t>
  </si>
  <si>
    <t xml:space="preserve">  Rate Limiting &amp; DoS</t>
  </si>
  <si>
    <t xml:space="preserve">  Test for rate limiting on login, registration, and OTP endpoints</t>
  </si>
  <si>
    <t xml:space="preserve">  Test for account lockout bypass via IP rotation or header manipulation (X-Forwarded-For)</t>
  </si>
  <si>
    <t xml:space="preserve">  Test for large payload submission causing application errors</t>
  </si>
  <si>
    <t xml:space="preserve">  Test for regex-based DoS (ReDoS) in input fields with complex validation</t>
  </si>
  <si>
    <t xml:space="preserve">  Test for resource exhaustion via repeated expensive operations</t>
  </si>
  <si>
    <t xml:space="preserve">  Post-Exploitation &amp; Impact Assessment</t>
  </si>
  <si>
    <t xml:space="preserve">  Document all findings with clear reproduction steps</t>
  </si>
  <si>
    <t xml:space="preserve">  Assess CVSS score for each finding (use CVSSv4 where possible)</t>
  </si>
  <si>
    <t xml:space="preserve">  Chain findings to demonstrate maximum impact (e.g. SSRF → IDOR → data exfiltration)</t>
  </si>
  <si>
    <t xml:space="preserve">  Capture screenshots and HTTP request/response pairs for all findings</t>
  </si>
  <si>
    <t xml:space="preserve">  Verify findings are reproducible before reporting</t>
  </si>
  <si>
    <t xml:space="preserve">  Assess remediation complexity and provide actionable recommendations</t>
  </si>
  <si>
    <t xml:space="preserve">  Infrastructure — Penetration Testing Checklist</t>
  </si>
  <si>
    <t xml:space="preserve">  Pre-Engagement &amp; Scoping</t>
  </si>
  <si>
    <t xml:space="preserve">  Confirm scope — IP ranges, hostnames, excluded systems, and testing windows</t>
  </si>
  <si>
    <t xml:space="preserve">  Clarify rules of engagement (DoS permitted? Phishing in scope? Credential stuffing?)</t>
  </si>
  <si>
    <t xml:space="preserve">  Confirm emergency contact details and escalation procedure</t>
  </si>
  <si>
    <t xml:space="preserve">  Identify whether assessment is black box, grey box, or white box</t>
  </si>
  <si>
    <t xml:space="preserve">  Confirm whether credentials or VPN access are provided (internal assessment)</t>
  </si>
  <si>
    <t xml:space="preserve">  Agree on reporting format and delivery timeline</t>
  </si>
  <si>
    <t xml:space="preserve">  Set up attack infrastructure and logging (log all commands and timestamps)</t>
  </si>
  <si>
    <t xml:space="preserve">  External Reconnaissance (OSINT)</t>
  </si>
  <si>
    <t xml:space="preserve">  Enumerate subdomains (subfinder, amass, dnsx, crt.sh)</t>
  </si>
  <si>
    <t xml:space="preserve">  Perform reverse DNS lookups across identified IP ranges</t>
  </si>
  <si>
    <t xml:space="preserve">  Identify ASN and IP ownership (BGP.he.net, whois)</t>
  </si>
  <si>
    <t xml:space="preserve">  Check DNS records (A, MX, TXT, SPF, DMARC, DKIM, CNAME, NS, PTR)</t>
  </si>
  <si>
    <t xml:space="preserve">  Identify email provider and check for email spoofing via SPF/DMARC misconfiguration</t>
  </si>
  <si>
    <t xml:space="preserve">  Search Shodan, Censys, and FOFA for exposed services on in-scope IPs</t>
  </si>
  <si>
    <t xml:space="preserve">  Search for exposed credentials in breach databases (dehashed, haveibeenpwned)</t>
  </si>
  <si>
    <t xml:space="preserve">  Search GitHub, GitLab, and Pastebin for leaked credentials and internal references</t>
  </si>
  <si>
    <t xml:space="preserve">  Review LinkedIn and job postings for technology stack and internal tooling leakage</t>
  </si>
  <si>
    <t xml:space="preserve">  Check for zone transfer vulnerability (dig axfr)</t>
  </si>
  <si>
    <t xml:space="preserve">  Identify VPN, RDP, Citrix, and remote access portals</t>
  </si>
  <si>
    <t xml:space="preserve">  Check for exposed cloud storage (S3, Azure Blob, GCS)</t>
  </si>
  <si>
    <t xml:space="preserve">  Network Scanning &amp; Enumeration</t>
  </si>
  <si>
    <t xml:space="preserve">  Perform host discovery across all in-scope ranges (nmap -sn, fping)</t>
  </si>
  <si>
    <t xml:space="preserve">  Perform full port scan on all live hosts (nmap -p- or masscan)</t>
  </si>
  <si>
    <t xml:space="preserve">  Perform service version detection and OS fingerprinting (nmap -sV -sC -O)</t>
  </si>
  <si>
    <t xml:space="preserve">  Perform UDP scanning on key ports (nmap -sU — 53, 67, 69, 123, 161, 500)</t>
  </si>
  <si>
    <t xml:space="preserve">  Identify all running services and map to CVE exposure</t>
  </si>
  <si>
    <t xml:space="preserve">  Check for network segmentation gaps — can you reach OOB segments?</t>
  </si>
  <si>
    <t xml:space="preserve">  Capture and review broadcast traffic (Responder in analyse mode)</t>
  </si>
  <si>
    <t xml:space="preserve">  Check for LLMNR, NBT-NS, and mDNS activity on the network</t>
  </si>
  <si>
    <t xml:space="preserve">  Identify domain controllers, file servers, mail servers, and key infrastructure</t>
  </si>
  <si>
    <t xml:space="preserve">  Service Enumeration</t>
  </si>
  <si>
    <t xml:space="preserve">  Test for anonymous FTP access</t>
  </si>
  <si>
    <t xml:space="preserve">  Check FTP banner for version information</t>
  </si>
  <si>
    <t xml:space="preserve">  Test for writable directories</t>
  </si>
  <si>
    <t xml:space="preserve">  Check for sensitive files accessible via anonymous login</t>
  </si>
  <si>
    <t xml:space="preserve">  Test for FTP bounce attack potential</t>
  </si>
  <si>
    <t xml:space="preserve">  Check SSH version and identify CVEs (especially older OpenSSH versions)</t>
  </si>
  <si>
    <t xml:space="preserve">  Test for weak or default credentials</t>
  </si>
  <si>
    <t xml:space="preserve">  Check supported authentication methods (ssh -v)</t>
  </si>
  <si>
    <t xml:space="preserve">  Test for username enumeration (OpenSSH &lt; 7.7 timing attack)</t>
  </si>
  <si>
    <t xml:space="preserve">  Check for exposed private keys on web servers or shares</t>
  </si>
  <si>
    <t xml:space="preserve">  Test for SSH key reuse across hosts</t>
  </si>
  <si>
    <t xml:space="preserve">  Test for default credentials</t>
  </si>
  <si>
    <t xml:space="preserve">  Capture credentials — telnet transmits in plaintext</t>
  </si>
  <si>
    <t xml:space="preserve">  Check for open relay misconfiguration</t>
  </si>
  <si>
    <t xml:space="preserve">  Enumerate valid users via VRFY, EXPN, and RCPT TO</t>
  </si>
  <si>
    <t xml:space="preserve">  Check for email spoofing potential (no SPF/DMARC enforcement)</t>
  </si>
  <si>
    <t xml:space="preserve">  Check SMTP banner for version information</t>
  </si>
  <si>
    <t xml:space="preserve">  Test for zone transfer (dig axfr @target domain.com)</t>
  </si>
  <si>
    <t xml:space="preserve">  Test for DNS cache poisoning potential</t>
  </si>
  <si>
    <t xml:space="preserve">  Check for wildcard DNS records</t>
  </si>
  <si>
    <t xml:space="preserve">  Enumerate subdomains via DNS brute force</t>
  </si>
  <si>
    <t xml:space="preserve">  Refer to Web Application Methodology (Web.md) for full coverage</t>
  </si>
  <si>
    <t xml:space="preserve">  Check for default web server pages and admin interfaces</t>
  </si>
  <si>
    <t xml:space="preserve">  Identify web application framework and version</t>
  </si>
  <si>
    <t xml:space="preserve">  Check for common management interfaces (Tomcat manager, WebLogic console, JBoss)</t>
  </si>
  <si>
    <t xml:space="preserve">  Check for null session access (smbclient -N, crackmapexec)</t>
  </si>
  <si>
    <t xml:space="preserve">  Enumerate shares and check for read/write access</t>
  </si>
  <si>
    <t xml:space="preserve">  Check for sensitive files in accessible shares (passwords, configs, backups)</t>
  </si>
  <si>
    <t xml:space="preserve">  Check SMB signing status — required or not enforced?</t>
  </si>
  <si>
    <t xml:space="preserve">  Test for EternalBlue (MS17-010) on unpatched hosts</t>
  </si>
  <si>
    <t xml:space="preserve">  Test for PrintNightmare (CVE-2021-34527) on print servers</t>
  </si>
  <si>
    <t xml:space="preserve">  Check for SMBGhost (CVE-2020-0796) on Windows 10 / Server 2019 hosts</t>
  </si>
  <si>
    <t xml:space="preserve">  Enumerate users, groups, and password policy via RPC (rpcclient, enum4linux-ng)</t>
  </si>
  <si>
    <t xml:space="preserve">  Test for anonymous LDAP bind</t>
  </si>
  <si>
    <t xml:space="preserve">  Enumerate domain users, groups, and computers via LDAP</t>
  </si>
  <si>
    <t xml:space="preserve">  Check for sensitive attributes exposed (description fields, passwords)</t>
  </si>
  <si>
    <t xml:space="preserve">  Use ldapsearch or windapsearch for enumeration</t>
  </si>
  <si>
    <t xml:space="preserve">  Test for default or weak credentials (hydra, crowbar)</t>
  </si>
  <si>
    <t xml:space="preserve">  Check for BlueKeep (CVE-2019-0708) on older Windows hosts</t>
  </si>
  <si>
    <t xml:space="preserve">  Check for NLA enforcement — if disabled, test for credential capture</t>
  </si>
  <si>
    <t xml:space="preserve">  Check if RDP is exposed externally unnecessarily</t>
  </si>
  <si>
    <t xml:space="preserve">  Test for default or weak credentials (evil-winrm, crackmapexec)</t>
  </si>
  <si>
    <t xml:space="preserve">  Check if WinRM access leads to a privileged session</t>
  </si>
  <si>
    <t xml:space="preserve">  Test for default community strings (public, private, community)</t>
  </si>
  <si>
    <t xml:space="preserve">  Enumerate system information, running processes, installed software, and network interfaces via SNMP</t>
  </si>
  <si>
    <t xml:space="preserve">  Test SNMPv1/v2 for community string brute force (onesixtyone, hydra)</t>
  </si>
  <si>
    <t xml:space="preserve">  Check for write access via community string</t>
  </si>
  <si>
    <t xml:space="preserve">  Test for default sa credentials</t>
  </si>
  <si>
    <t xml:space="preserve">  Test for Windows authentication brute force</t>
  </si>
  <si>
    <t xml:space="preserve">  Check for xp_cmdshell enabled</t>
  </si>
  <si>
    <t xml:space="preserve">  Enumerate linked servers</t>
  </si>
  <si>
    <t xml:space="preserve">  Test for UNC path injection (xp_dirtree for hash capture)</t>
  </si>
  <si>
    <t xml:space="preserve">  Test for default root credentials with no password</t>
  </si>
  <si>
    <t xml:space="preserve">  Test for remote root login permitted</t>
  </si>
  <si>
    <t xml:space="preserve">  Enumerate databases, tables, and sensitive data</t>
  </si>
  <si>
    <t xml:space="preserve">  Enumerate NFS exports (showmount -e)</t>
  </si>
  <si>
    <t xml:space="preserve">  Check for no_root_squash on exports</t>
  </si>
  <si>
    <t xml:space="preserve">  Check for world-readable or writable shares</t>
  </si>
  <si>
    <t xml:space="preserve">  Mount and enumerate accessible NFS shares</t>
  </si>
  <si>
    <t xml:space="preserve">  Test for unauthenticated access</t>
  </si>
  <si>
    <t xml:space="preserve">  Test for weak or default password</t>
  </si>
  <si>
    <t xml:space="preserve">  Attempt to write SSH keys via Redis CONFIG SET</t>
  </si>
  <si>
    <t xml:space="preserve">  Check for SSRF vector to reach internal Redis</t>
  </si>
  <si>
    <t xml:space="preserve">  Vulnerability Assessment</t>
  </si>
  <si>
    <t xml:space="preserve">  Run authenticated vulnerability scan (Nessus, OpenVAS, Qualys)</t>
  </si>
  <si>
    <t xml:space="preserve">  Run unauthenticated scan and compare results</t>
  </si>
  <si>
    <t xml:space="preserve">  Identify missing patches and map to public exploits (CVE, Exploit-DB)</t>
  </si>
  <si>
    <t xml:space="preserve">  Identify end-of-life operating systems (Windows Server 2008, Windows 7, etc.)</t>
  </si>
  <si>
    <t xml:space="preserve">  Check for known critical CVEs on identified service versions</t>
  </si>
  <si>
    <t xml:space="preserve">  Verify vulnerability findings manually before exploitation</t>
  </si>
  <si>
    <t xml:space="preserve">  Credential Attacks</t>
  </si>
  <si>
    <t xml:space="preserve">  Perform password spraying against identified services (SSH, SMB, WinRM, RDP, OWA, VPN)</t>
  </si>
  <si>
    <t xml:space="preserve">  Use organisation-specific password patterns (Company1!, Season+Year)</t>
  </si>
  <si>
    <t xml:space="preserve">  Monitor for account lockout thresholds before spraying</t>
  </si>
  <si>
    <t xml:space="preserve">  Test for credential reuse across services with any captured credentials</t>
  </si>
  <si>
    <t xml:space="preserve">  Perform hash cracking on any captured NTLM hashes (hashcat, john)</t>
  </si>
  <si>
    <t xml:space="preserve">  Test for Kerberoasting if domain access is available (see AD methodology)</t>
  </si>
  <si>
    <t xml:space="preserve">  Check for cleartext credentials in configuration files, scripts, and shares</t>
  </si>
  <si>
    <t xml:space="preserve">  Network Attacks</t>
  </si>
  <si>
    <t xml:space="preserve">  Run Responder to capture NTLMv2 hashes via LLMNR/NBT-NS/mDNS poisoning</t>
  </si>
  <si>
    <t xml:space="preserve">  Attempt NTLM relay with ntlmrelayx when SMB signing is not enforced</t>
  </si>
  <si>
    <t xml:space="preserve">  Test for IPv6 DNS takeover via mitm6</t>
  </si>
  <si>
    <t xml:space="preserve">  Perform ARP spoofing in permissive network environments (bettercap)</t>
  </si>
  <si>
    <t xml:space="preserve">  Test for rogue DHCP server potential</t>
  </si>
  <si>
    <t xml:space="preserve">  Attempt NTLM relay to LDAP for user or computer account creation</t>
  </si>
  <si>
    <t xml:space="preserve">  Test for ADCS relay attacks (ESC8) if Certificate Services is present</t>
  </si>
  <si>
    <t xml:space="preserve">  Linux Post-Exploitation &amp; Privilege Escalation</t>
  </si>
  <si>
    <t xml:space="preserve">  Identify current user context and groups (id, whoami, groups)</t>
  </si>
  <si>
    <t xml:space="preserve">  Check sudo permissions (sudo -l)</t>
  </si>
  <si>
    <t xml:space="preserve">  Look for SUID/SGID binaries (find / -perm -4000 2&gt;/dev/null)</t>
  </si>
  <si>
    <t xml:space="preserve">  Check for world-writable files and directories</t>
  </si>
  <si>
    <t xml:space="preserve">  Check for sensitive files readable by current user (/etc/shadow, SSH keys, .bash_history)</t>
  </si>
  <si>
    <t xml:space="preserve">  Check cron jobs for writable scripts or paths (crontab -l, /etc/cron*)</t>
  </si>
  <si>
    <t xml:space="preserve">  Check running processes for interesting services (ps aux)</t>
  </si>
  <si>
    <t xml:space="preserve">  Check for writable paths in root-owned cron scripts</t>
  </si>
  <si>
    <t xml:space="preserve">  Enumerate installed software and check versions for local exploits</t>
  </si>
  <si>
    <t xml:space="preserve">  Check for capabilities set on binaries (getcap -r / 2&gt;/dev/null)</t>
  </si>
  <si>
    <t xml:space="preserve">  Check NFS mounts with no_root_squash</t>
  </si>
  <si>
    <t xml:space="preserve">  Check Docker socket exposure (/var/run/docker.sock)</t>
  </si>
  <si>
    <t xml:space="preserve">  Check for container escape indicators (/.dockerenv, cgroup inspection)</t>
  </si>
  <si>
    <t xml:space="preserve">  Review environment variables for credentials (env, printenv)</t>
  </si>
  <si>
    <t xml:space="preserve">  Check for passwords in configuration files and scripts</t>
  </si>
  <si>
    <t xml:space="preserve">  Run LinPEAS for automated enumeration</t>
  </si>
  <si>
    <t xml:space="preserve">  Check kernel version for local kernel exploits (uname -r)</t>
  </si>
  <si>
    <t xml:space="preserve">  Check for writable /etc/passwd (add root-level user)</t>
  </si>
  <si>
    <t xml:space="preserve">  Windows Post-Exploitation &amp; Privilege Escalation</t>
  </si>
  <si>
    <t xml:space="preserve">  Identify current user context and privileges (whoami /all)</t>
  </si>
  <si>
    <t xml:space="preserve">  Check for SeImpersonatePrivilege / SeAssignPrimaryTokenPrivilege (Potato attacks)</t>
  </si>
  <si>
    <t xml:space="preserve">  Check for SeBackupPrivilege / SeRestorePrivilege (SAM/SYSTEM dump)</t>
  </si>
  <si>
    <t xml:space="preserve">  Check for SeDebugPrivilege (process injection)</t>
  </si>
  <si>
    <t xml:space="preserve">  Enumerate local users, groups, and administrators (net user, net localgroup)</t>
  </si>
  <si>
    <t xml:space="preserve">  Check installed software and versions for local exploits</t>
  </si>
  <si>
    <t xml:space="preserve">  Check running services for unquoted service paths</t>
  </si>
  <si>
    <t xml:space="preserve">  Check service binary permissions for writable executables</t>
  </si>
  <si>
    <t xml:space="preserve">  Check registry autoruns for writable paths (autoruns, reg query)</t>
  </si>
  <si>
    <t xml:space="preserve">  Check scheduled tasks for writable script paths</t>
  </si>
  <si>
    <t xml:space="preserve">  Check AlwaysInstallElevated registry key</t>
  </si>
  <si>
    <t xml:space="preserve">  Check for cleartext credentials in registry (Autologon, WinSCP, PuTTY)</t>
  </si>
  <si>
    <t xml:space="preserve">  Check for cleartext credentials in common file locations (unattend.xml, sysprep.xml, web.config)</t>
  </si>
  <si>
    <t xml:space="preserve">  Search for passwords in files (findstr /si password .txt .xml .ini .config)</t>
  </si>
  <si>
    <t xml:space="preserve">  Dump SAM/SYSTEM for local hash extraction (reg save, impacket-secretsdump)</t>
  </si>
  <si>
    <t xml:space="preserve">  Run WinPEAS for automated enumeration</t>
  </si>
  <si>
    <t xml:space="preserve">  Check for DLL hijacking opportunities in service binary paths</t>
  </si>
  <si>
    <t xml:space="preserve">  Check for token impersonation opportunities</t>
  </si>
  <si>
    <t xml:space="preserve">  Check Windows version for unpatched local privilege escalation CVEs</t>
  </si>
  <si>
    <t xml:space="preserve">  Lateral Movement</t>
  </si>
  <si>
    <t xml:space="preserve">  Test captured credentials against all other in-scope hosts (crackmapexec)</t>
  </si>
  <si>
    <t xml:space="preserve">  Test for pass-the-hash with captured NTLM hashes (crackmapexec, impacket)</t>
  </si>
  <si>
    <t xml:space="preserve">  Test for pass-the-ticket with captured Kerberos tickets</t>
  </si>
  <si>
    <t xml:space="preserve">  Use psexec, smbexec, wmiexec, or winrm for remote execution</t>
  </si>
  <si>
    <t xml:space="preserve">  Check for reused local administrator passwords across hosts</t>
  </si>
  <si>
    <t xml:space="preserve">  Identify and pivot to additional network segments (chisel, ligolo-ng)</t>
  </si>
  <si>
    <t xml:space="preserve">  Check for credentials stored in memory with Mimikatz (if AV permits)</t>
  </si>
  <si>
    <t xml:space="preserve">  Dump LSASS for credential extraction (procdump, task manager, comsvcs.dll)</t>
  </si>
  <si>
    <t xml:space="preserve">  Search for credentials in accessible network shares</t>
  </si>
  <si>
    <t xml:space="preserve">  Pivoting &amp; Tunnelling</t>
  </si>
  <si>
    <t xml:space="preserve">  Identify network segments reachable from compromised hosts</t>
  </si>
  <si>
    <t xml:space="preserve">  Set up SOCKS proxy via chisel or ligolo-ng for traffic routing</t>
  </si>
  <si>
    <t xml:space="preserve">  Tunnel tools through proxy (proxychains configuration)</t>
  </si>
  <si>
    <t xml:space="preserve">  Perform port forwarding for specific service access (ssh -L, chisel)</t>
  </si>
  <si>
    <t xml:space="preserve">  Enumerate newly accessible segments from pivot point</t>
  </si>
  <si>
    <t xml:space="preserve">  Document network topology as access expands</t>
  </si>
  <si>
    <t xml:space="preserve">  Reporting &amp; Evidence Collection</t>
  </si>
  <si>
    <t xml:space="preserve">  Log all commands, timestamps, and outputs throughout the engagement</t>
  </si>
  <si>
    <t xml:space="preserve">  Capture screenshots of all significant findings and exploitation steps</t>
  </si>
  <si>
    <t xml:space="preserve">  Collect HTTP request/response pairs for web-based findings</t>
  </si>
  <si>
    <t xml:space="preserve">  Document full attack chains with clear step-by-step reproduction</t>
  </si>
  <si>
    <t xml:space="preserve">  Assess and document business impact for each finding</t>
  </si>
  <si>
    <t xml:space="preserve">  Assign CVSS scores (CVSSv4 preferred)</t>
  </si>
  <si>
    <t xml:space="preserve">  Provide actionable, prioritised remediation recommendations</t>
  </si>
  <si>
    <t xml:space="preserve">  Include an executive summary covering key risks and overall posture</t>
  </si>
  <si>
    <t xml:space="preserve">  Active Directory — Penetration Testing Checklist</t>
  </si>
  <si>
    <t xml:space="preserve">  Pre-Engagement</t>
  </si>
  <si>
    <t xml:space="preserve">  Confirm scope — which domains, forests, and trusts are in scope</t>
  </si>
  <si>
    <t xml:space="preserve">  Confirm whether credentials are provided (grey box) or not (black box from network access)</t>
  </si>
  <si>
    <t xml:space="preserve">  Confirm whether the assessment includes physical/phishing or is purely network-based</t>
  </si>
  <si>
    <t xml:space="preserve">  Identify domain name, DC hostnames, and DNS server from DHCP or network traffic</t>
  </si>
  <si>
    <t xml:space="preserve">  Set DNS to point at the Domain Controller for resolution</t>
  </si>
  <si>
    <t xml:space="preserve">  Unauthenticated Enumeration (No Credentials)</t>
  </si>
  <si>
    <t xml:space="preserve">  Identify domain name via broadcast traffic, NBNS, or LDAP</t>
  </si>
  <si>
    <t xml:space="preserve">  Run Responder in analyse mode to passively observe traffic (no poisoning yet)</t>
  </si>
  <si>
    <t xml:space="preserve">  Check for null session access on SMB (smbclient -N, crackmapexec)</t>
  </si>
  <si>
    <t xml:space="preserve">  Attempt anonymous LDAP bind and enumerate base DN</t>
  </si>
  <si>
    <t xml:space="preserve">  Enumerate RPC endpoints anonymously (rpcclient -U "" -N)</t>
  </si>
  <si>
    <t xml:space="preserve">  Check for open shares accessible without credentials</t>
  </si>
  <si>
    <t xml:space="preserve">  Run enum4linux-ng for anonymous enumeration</t>
  </si>
  <si>
    <t xml:space="preserve">  Check for AS-REP Roastable accounts with no pre-auth required (no creds needed)</t>
  </si>
  <si>
    <t xml:space="preserve">  Run mitm6 to capture IPv6 DNS requests and relay to LDAP/SMB</t>
  </si>
  <si>
    <t xml:space="preserve">  Run Responder to capture NTLMv2 hashes (LLMNR/NBT-NS/mDNS poisoning)</t>
  </si>
  <si>
    <t xml:space="preserve">  Check if SMB signing is enforced across the domain (crackmapexec --gen-relay-list)</t>
  </si>
  <si>
    <t xml:space="preserve">  Attempt NTLM relay with ntlmrelayx to hosts without SMB signing</t>
  </si>
  <si>
    <t xml:space="preserve">  Attempt NTLM relay to LDAP for creating new machine accounts or reading hashes</t>
  </si>
  <si>
    <t xml:space="preserve">  Check for Pre2k computer accounts (computers with default passwords — machine$)</t>
  </si>
  <si>
    <t xml:space="preserve">  Identify web interfaces (OWA, ADFS, Azure AD Connect, Intranet) for password spraying</t>
  </si>
  <si>
    <t xml:space="preserve">  Password Attacks</t>
  </si>
  <si>
    <t xml:space="preserve">  Enumerate valid usernames before spraying (LDAP, Kerbrute userenum, OSINT)</t>
  </si>
  <si>
    <t xml:space="preserve">  Identify password policy before spraying (lockout threshold, observation window)</t>
  </si>
  <si>
    <t xml:space="preserve">  Perform password spraying with organisation-specific patterns (Kerbrute, crackmapexec)</t>
  </si>
  <si>
    <t xml:space="preserve">  Common spray candidates: Season+Year!, Company+Year!, Welcome1!, Password1!</t>
  </si>
  <si>
    <t xml:space="preserve">  Spray against OWA, ADFS, VPN portals if in scope</t>
  </si>
  <si>
    <t xml:space="preserve">  Test for credential reuse across services once first credential is captured</t>
  </si>
  <si>
    <t xml:space="preserve">  Brute force individual accounts only if no lockout policy is confirmed</t>
  </si>
  <si>
    <t xml:space="preserve">  Authenticated Enumeration (With Credentials)</t>
  </si>
  <si>
    <t xml:space="preserve">  Confirm credential validity across services (crackmapexec smb, ldap, winrm)</t>
  </si>
  <si>
    <t xml:space="preserve">  Enumerate domain users, groups, computers, and OUs (bloodhound, ldapsearch, windapsearch)</t>
  </si>
  <si>
    <t xml:space="preserve">  Collect BloodHound data (SharpHound or bloodhound-python)</t>
  </si>
  <si>
    <t xml:space="preserve">  Review BloodHound for shortest path to Domain Admin</t>
  </si>
  <si>
    <t xml:space="preserve">  Review BloodHound for AS-REP Roastable, Kerberoastable, and DCSync rights</t>
  </si>
  <si>
    <t xml:space="preserve">  Enumerate user description fields for stored passwords (ldapsearch, RSAT)</t>
  </si>
  <si>
    <t xml:space="preserve">  Enumerate password policy (min length, lockout, complexity)</t>
  </si>
  <si>
    <t xml:space="preserve">  Enumerate fine-grained password policies (PSOs) and who they apply to</t>
  </si>
  <si>
    <t xml:space="preserve">  Enumerate domain trusts (Get-DomainTrust, nltest /domain_trusts)</t>
  </si>
  <si>
    <t xml:space="preserve">  Enumerate Group Policy Objects (GPOs) — check for password storage or interesting configs</t>
  </si>
  <si>
    <t xml:space="preserve">  Enumerate LAPS deployment — which OUs have LAPS, can current user read LAPS passwords?</t>
  </si>
  <si>
    <t xml:space="preserve">  Enumerate AD Certificate Services (ADCS) — is a CA present? (certutil, certipy)</t>
  </si>
  <si>
    <t xml:space="preserve">  Identify AdminSDHolder protected accounts</t>
  </si>
  <si>
    <t xml:space="preserve">  Enumerate privileged groups: Domain Admins, Enterprise Admins, Schema Admins, Backup Operators, Account Operators, Server Operators, Print Operators, DNSAdmins</t>
  </si>
  <si>
    <t xml:space="preserve">  Check for nested group memberships that grant unexpected privilege</t>
  </si>
  <si>
    <t xml:space="preserve">  Identify service accounts (SPN set) for Kerberoasting</t>
  </si>
  <si>
    <t xml:space="preserve">  Identify accounts with no pre-auth required for AS-REP Roasting</t>
  </si>
  <si>
    <t xml:space="preserve">  Kerberos Attacks</t>
  </si>
  <si>
    <t xml:space="preserve">  Identify accounts with "Do not require Kerberos pre-authentication" set</t>
  </si>
  <si>
    <t xml:space="preserve">  Request AS-REP hashes for identified accounts (GetNPUsers.py, Rubeus)</t>
  </si>
  <si>
    <t xml:space="preserve">  Crack captured hashes offline (hashcat mode 18200)</t>
  </si>
  <si>
    <t xml:space="preserve">  Identify all accounts with SPNs set (GetUserSPNs.py, Rubeus kerberoast)</t>
  </si>
  <si>
    <t xml:space="preserve">  Request TGS tickets for identified service accounts</t>
  </si>
  <si>
    <t xml:space="preserve">  Crack captured hashes offline (hashcat mode 13100)</t>
  </si>
  <si>
    <t xml:space="preserve">  Prioritise high-value targets: accounts in privileged groups, accounts with AdminCount=1</t>
  </si>
  <si>
    <t xml:space="preserve">  Attempt targeted Kerberoasting if you have write access to an account's SPN attribute</t>
  </si>
  <si>
    <t xml:space="preserve">  Export Kerberos tickets from memory (Rubeus dump, Mimikatz sekurlsa::tickets)</t>
  </si>
  <si>
    <t xml:space="preserve">  Import and use captured tickets (Rubeus ptt, Mimikatz kerberos::ptt)</t>
  </si>
  <si>
    <t xml:space="preserve">  Attempt overpass-the-hash — convert NTLM hash to a Kerberos TGT (Rubeus asktgt)</t>
  </si>
  <si>
    <t xml:space="preserve">  If KRBTGT hash is captured — forge a Golden Ticket (Mimikatz, ticketer.py)</t>
  </si>
  <si>
    <t xml:space="preserve">  If service account hash is captured — forge a Silver Ticket for that service</t>
  </si>
  <si>
    <t xml:space="preserve">  Test Golden Ticket persistence after password change (valid for ticket lifetime)</t>
  </si>
  <si>
    <t xml:space="preserve">  ACL / ACE Abuse</t>
  </si>
  <si>
    <t xml:space="preserve">  Review BloodHound for abusable ACEs on users, groups, computers, and GPOs</t>
  </si>
  <si>
    <t xml:space="preserve">  Check for GenericAll on a user — reset their password or add SPN for Kerberoasting</t>
  </si>
  <si>
    <t xml:space="preserve">  Check for GenericWrite on a user — add SPN (targeted Kerberoast) or modify logon script</t>
  </si>
  <si>
    <t xml:space="preserve">  Check for ForceChangePassword on a user — reset password without knowing current one</t>
  </si>
  <si>
    <t xml:space="preserve">  Check for GenericAll/GenericWrite on a group — add yourself as a member</t>
  </si>
  <si>
    <t xml:space="preserve">  Check for GenericAll on a computer — perform Resource-Based Constrained Delegation (RBCD)</t>
  </si>
  <si>
    <t xml:space="preserve">  Check for WriteOwner — take ownership of the object, then grant yourself full control</t>
  </si>
  <si>
    <t xml:space="preserve">  Check for WriteDACL — write a new ACE granting yourself GenericAll</t>
  </si>
  <si>
    <t xml:space="preserve">  Check for DCSync rights (GetChanges + GetChangesAll on the domain object) — dump all hashes</t>
  </si>
  <si>
    <t xml:space="preserve">  Check for AllExtendedRights on a user — can force password change or read LAPS</t>
  </si>
  <si>
    <t xml:space="preserve">  Delegation Attacks</t>
  </si>
  <si>
    <t xml:space="preserve">  Identify computers and users with Unconstrained Delegation set (BloodHound, ADSearch)</t>
  </si>
  <si>
    <t xml:space="preserve">  Compromise the system with Unconstrained Delegation</t>
  </si>
  <si>
    <t xml:space="preserve">  Use the Printer Bug (SpoolSample) or PetitPotam to coerce a DC to authenticate</t>
  </si>
  <si>
    <t xml:space="preserve">  Capture the DC TGT from memory and use for DCSync or lateral movement</t>
  </si>
  <si>
    <t xml:space="preserve">  Alternatively — wait for privileged users to authenticate naturally</t>
  </si>
  <si>
    <t xml:space="preserve">  Identify accounts with Constrained Delegation set and note the allowed services</t>
  </si>
  <si>
    <t xml:space="preserve">  If you control the account — request a TGS for the allowed service (s4u2proxy)</t>
  </si>
  <si>
    <t xml:space="preserve">  If protocol transition is enabled (TrustedToAuthForDelegation) — use s4u2self first to impersonate any user, then s4u2proxy</t>
  </si>
  <si>
    <t xml:space="preserve">  Use Rubeus s4u or getST.py for ticket requests</t>
  </si>
  <si>
    <t xml:space="preserve">  Identify if you have GenericAll/GenericWrite/WriteProperty on a computer object</t>
  </si>
  <si>
    <t xml:space="preserve">  Create a new machine account (MachineAccountQuota &gt; 0) or use an existing controlled computer</t>
  </si>
  <si>
    <t xml:space="preserve">  Write the controlled computer's SID to the target computer's msDS-AllowedToActOnBehalfOfOtherIdentity attribute</t>
  </si>
  <si>
    <t xml:space="preserve">  Use s4u2self + s4u2proxy to impersonate any user (e.g. Administrator) to the target</t>
  </si>
  <si>
    <t xml:space="preserve">  Use the resulting ticket to access the target as Administrator</t>
  </si>
  <si>
    <t xml:space="preserve">  Active Directory Certificate Services (ADCS)</t>
  </si>
  <si>
    <t xml:space="preserve">  Identify if ADCS is deployed (certutil, certipy find, BloodHound)</t>
  </si>
  <si>
    <t xml:space="preserve">  Enumerate certificate templates and their permissions (certipy find --vulnerable)</t>
  </si>
  <si>
    <t xml:space="preserve">  Check for ESC1 — template allows requestor to supply arbitrary Subject Alternative Name (SAN) + low-priv user can enrol</t>
  </si>
  <si>
    <t xml:space="preserve">  Check for ESC2 — Any Purpose EKU or no EKU, can be used as a smart card cert</t>
  </si>
  <si>
    <t xml:space="preserve">  Check for ESC3 — Certificate Request Agent template abuse</t>
  </si>
  <si>
    <t xml:space="preserve">  Check for ESC4 — low-priv user has write access over a template (modify it to introduce ESC1)</t>
  </si>
  <si>
    <t xml:space="preserve">  Check for ESC6 — CA has EDITF_ATTRIBUTESUBJECTALTNAME2 flag set (arbitrary SAN on any template)</t>
  </si>
  <si>
    <t xml:space="preserve">  Check for ESC7 — low-priv user has ManageCA or ManageCertificates rights</t>
  </si>
  <si>
    <t xml:space="preserve">  Check for ESC8 — NTLM relay to AD CS HTTP enrolment endpoint (no signing required)</t>
  </si>
  <si>
    <t xml:space="preserve">  Exploit ESC1 — request cert with DA UPN as SAN, use cert to get DA TGT (PKINIT)</t>
  </si>
  <si>
    <t xml:space="preserve">  Use captured certificate to request a TGT (certipy auth)</t>
  </si>
  <si>
    <t xml:space="preserve">  Use certificate for persistence — valid for template lifetime regardless of password changes</t>
  </si>
  <si>
    <t xml:space="preserve">  Validate credentials across all domain-joined hosts (crackmapexec smb)</t>
  </si>
  <si>
    <t xml:space="preserve">  Identify hosts where current user is local admin (crackmapexec --local-auth, BloodHound)</t>
  </si>
  <si>
    <t xml:space="preserve">  Use wmiexec, smbexec, psexec, or evil-winrm for remote execution</t>
  </si>
  <si>
    <t xml:space="preserve">  Perform pass-the-hash with NTLM hashes (crackmapexec, impacket)</t>
  </si>
  <si>
    <t xml:space="preserve">  Perform pass-the-ticket with Kerberos tickets (Rubeus, impacket)</t>
  </si>
  <si>
    <t xml:space="preserve">  Dump LSASS on compromised hosts for additional credentials (procdump, comsvcs.dll)</t>
  </si>
  <si>
    <t xml:space="preserve">  Use Mimikatz sekurlsa::logonpasswords on hosts where AV permits</t>
  </si>
  <si>
    <t xml:space="preserve">  Check for cached credentials on servers (Domain Admin logged in recently?)</t>
  </si>
  <si>
    <t xml:space="preserve">  Identify servers with interesting roles — CA, Exchange, file servers, backup servers</t>
  </si>
  <si>
    <t xml:space="preserve">  Enumerate admin shares and writable paths on lateral targets</t>
  </si>
  <si>
    <t xml:space="preserve">  Domain Privilege Escalation</t>
  </si>
  <si>
    <t xml:space="preserve">  Attempt DCSync if account has replication rights (secretsdump.py, Mimikatz lsadump::dcsync)</t>
  </si>
  <si>
    <t xml:space="preserve">  Dump NTDS.dit if DC is compromised (secretsdump.py, vssadmin shadow copy)</t>
  </si>
  <si>
    <t xml:space="preserve">  Check DNSAdmins group membership — dll injection via DNS service restart</t>
  </si>
  <si>
    <t xml:space="preserve">  Check for writable GPOs applied to privileged OUs or DCs</t>
  </si>
  <si>
    <t xml:space="preserve">  Check for AdminSDHolder misconfiguration — write ACE that propagates to protected accounts</t>
  </si>
  <si>
    <t xml:space="preserve">  Abuse Backup Operators privilege — access DC filesystem, dump SAM/SYSTEM/NTDS</t>
  </si>
  <si>
    <t xml:space="preserve">  Check Account Operators group — can modify non-protected users and add to groups</t>
  </si>
  <si>
    <t xml:space="preserve">  Check Server Operators group — can manage DC services, potential code execution</t>
  </si>
  <si>
    <t xml:space="preserve">  Check Print Operators group — can load kernel drivers on DCs (SeLoadDriverPrivilege)</t>
  </si>
  <si>
    <t xml:space="preserve">  Domain Persistence</t>
  </si>
  <si>
    <t xml:space="preserve">  Create Golden Ticket using KRBTGT hash (valid for 10 years by default)</t>
  </si>
  <si>
    <t xml:space="preserve">  Create Diamond Ticket (harder to detect than Golden Ticket)</t>
  </si>
  <si>
    <t xml:space="preserve">  Add DCSync rights to a low-privilege user via ACL abuse</t>
  </si>
  <si>
    <t xml:space="preserve">  Create a shadow credential (add KeyCredentialLink to a high-value account)</t>
  </si>
  <si>
    <t xml:space="preserve">  Register a rogue certificate template for persistent certificate-based auth</t>
  </si>
  <si>
    <t xml:space="preserve">  Create a new machine account with constrained delegation to the DC</t>
  </si>
  <si>
    <t xml:space="preserve">  Add a backdoor admin account to a privileged group</t>
  </si>
  <si>
    <t xml:space="preserve">  Modify AdminSDHolder DACL for persistent ACE propagation to protected groups</t>
  </si>
  <si>
    <t xml:space="preserve">  Forest &amp; Trust Attacks</t>
  </si>
  <si>
    <t xml:space="preserve">  Enumerate all domain trusts (BloodHound, Get-DomainTrust)</t>
  </si>
  <si>
    <t xml:space="preserve">  Identify trust direction (one-way, bidirectional) and transitivity</t>
  </si>
  <si>
    <t xml:space="preserve">  Check for SID history abuse across trusts</t>
  </si>
  <si>
    <t xml:space="preserve">  Attempt trust ticket forgery if parent-child trust exists (Extra SIDs attack)</t>
  </si>
  <si>
    <t xml:space="preserve">  Enumerate foreign group memberships across trusts</t>
  </si>
  <si>
    <t xml:space="preserve">  Check for shared accounts or credentials that work across trusted domains</t>
  </si>
  <si>
    <t xml:space="preserve">  Identify Azure AD Connect sync accounts for potential credential abuse</t>
  </si>
  <si>
    <t xml:space="preserve">  Key Tools Reference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</si>
</sst>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8A6FF"/>
      <name val="Arial"/>
      <family val="0"/>
      <charset val="1"/>
    </font>
    <font>
      <sz val="11"/>
      <color rgb="FF58A6FF"/>
      <name val="Arial"/>
      <family val="0"/>
      <charset val="1"/>
    </font>
    <font>
      <b val="true"/>
      <sz val="10"/>
      <color rgb="FF58A6FF"/>
      <name val="Arial"/>
      <family val="0"/>
      <charset val="1"/>
    </font>
    <font>
      <b val="true"/>
      <sz val="11"/>
      <color rgb="FF58A6FF"/>
      <name val="Arial"/>
      <family val="0"/>
      <charset val="1"/>
    </font>
    <font>
      <sz val="10"/>
      <color rgb="FFE6EDF3"/>
      <name val="Arial"/>
      <family val="0"/>
      <charset val="1"/>
    </font>
    <font>
      <sz val="11"/>
      <color rgb="FFE6EDF3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3"/>
      <color rgb="FF58A6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1117"/>
        <bgColor rgb="FF161B22"/>
      </patternFill>
    </fill>
    <fill>
      <patternFill patternType="solid">
        <fgColor rgb="FF21262D"/>
        <bgColor rgb="FF161B22"/>
      </patternFill>
    </fill>
    <fill>
      <patternFill patternType="solid">
        <fgColor rgb="FF161B22"/>
        <bgColor rgb="FF0D111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3FB950"/>
        <sz val="10"/>
      </font>
      <fill>
        <patternFill>
          <bgColor rgb="FF1A4731"/>
        </patternFill>
      </fill>
    </dxf>
    <dxf>
      <font>
        <name val="Arial"/>
        <charset val="1"/>
        <family val="0"/>
        <b val="1"/>
        <color rgb="FFF85149"/>
        <sz val="10"/>
      </font>
      <fill>
        <patternFill>
          <bgColor rgb="FF4A1A1A"/>
        </patternFill>
      </fill>
    </dxf>
    <dxf>
      <font>
        <name val="Arial"/>
        <charset val="1"/>
        <family val="0"/>
        <b val="1"/>
        <color rgb="FFE3B341"/>
        <sz val="10"/>
      </font>
      <fill>
        <patternFill>
          <bgColor rgb="FF3D2B00"/>
        </patternFill>
      </fill>
    </dxf>
  </dxfs>
  <colors>
    <indexedColors>
      <rgbColor rgb="FF000000"/>
      <rgbColor rgb="FFE6ED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1117"/>
      <rgbColor rgb="FF808000"/>
      <rgbColor rgb="FF800080"/>
      <rgbColor rgb="FF008080"/>
      <rgbColor rgb="FFC0C0C0"/>
      <rgbColor rgb="FF808080"/>
      <rgbColor rgb="FF58A6FF"/>
      <rgbColor rgb="FF993366"/>
      <rgbColor rgb="FFFFFFCC"/>
      <rgbColor rgb="FFCCFFFF"/>
      <rgbColor rgb="FF4A1A1A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3B341"/>
      <rgbColor rgb="FFFF9900"/>
      <rgbColor rgb="FFF85149"/>
      <rgbColor rgb="FF666699"/>
      <rgbColor rgb="FF969696"/>
      <rgbColor rgb="FF1A4731"/>
      <rgbColor rgb="FF3FB950"/>
      <rgbColor rgb="FF161B22"/>
      <rgbColor rgb="FF3D2B00"/>
      <rgbColor rgb="FF993300"/>
      <rgbColor rgb="FF993366"/>
      <rgbColor rgb="FF21262D"/>
      <rgbColor rgb="FF3036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Assessment Completion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51</xdr:row>
      <xdr:rowOff>0</xdr:rowOff>
    </xdr:from>
    <xdr:to>
      <xdr:col>9</xdr:col>
      <xdr:colOff>88200</xdr:colOff>
      <xdr:row>77</xdr:row>
      <xdr:rowOff>86400</xdr:rowOff>
    </xdr:to>
    <xdr:graphicFrame>
      <xdr:nvGraphicFramePr>
        <xdr:cNvPr id="0" name="Chart 1"/>
        <xdr:cNvGraphicFramePr/>
      </xdr:nvGraphicFramePr>
      <xdr:xfrm>
        <a:off x="0" y="1170612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8A6FF"/>
    <pageSetUpPr fitToPage="false"/>
  </sheetPr>
  <dimension ref="A1:I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2"/>
    <col collapsed="false" customWidth="true" hidden="false" outlineLevel="0" max="6" min="6" style="0" width="2"/>
    <col collapsed="false" customWidth="true" hidden="true" outlineLevel="0" max="9" min="8" style="0" width="13"/>
  </cols>
  <sheetData>
    <row r="1" customFormat="false" ht="39.75" hidden="false" customHeight="true" outlineLevel="0" collapsed="false">
      <c r="A1" s="1" t="s">
        <v>0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/>
    </row>
    <row r="3" customFormat="false" ht="21.75" hidden="false" customHeight="true" outlineLevel="0" collapsed="false">
      <c r="A3" s="6" t="s">
        <v>6</v>
      </c>
      <c r="B3" s="4" t="n">
        <v>177</v>
      </c>
      <c r="C3" s="4" t="n">
        <f aca="false">COUNTIF(Web!B3,"OK")+COUNTIF(Web!B4,"OK")+COUNTIF(Web!B5,"OK")+COUNTIF(Web!B6,"OK")+COUNTIF(Web!B7,"OK")+COUNTIF(Web!B8,"OK")+COUNTIF(Web!B9,"OK")+COUNTIF(Web!B10,"OK")+COUNTIF(Web!B11,"OK")+COUNTIF(Web!B12,"OK")+COUNTIF(Web!B13,"OK")+COUNTIF(Web!B14,"OK")+COUNTIF(Web!B15,"OK")+COUNTIF(Web!B16,"OK")+COUNTIF(Web!B17,"OK")+COUNTIF(Web!B20,"OK")+COUNTIF(Web!B21,"OK")+COUNTIF(Web!B22,"OK")+COUNTIF(Web!B23,"OK")+COUNTIF(Web!B24,"OK")+COUNTIF(Web!B25,"OK")+COUNTIF(Web!B26,"OK")+COUNTIF(Web!B27,"OK")+COUNTIF(Web!B30,"OK")+COUNTIF(Web!B31,"OK")+COUNTIF(Web!B32,"OK")+COUNTIF(Web!B33,"OK")+COUNTIF(Web!B34,"OK")+COUNTIF(Web!B35,"OK")+COUNTIF(Web!B36,"OK")+COUNTIF(Web!B37,"OK")+COUNTIF(Web!B38,"OK")+COUNTIF(Web!B39,"OK")+COUNTIF(Web!B40,"OK")+COUNTIF(Web!B41,"OK")+COUNTIF(Web!B42,"OK")+COUNTIF(Web!B43,"OK")+COUNTIF(Web!B44,"OK")+COUNTIF(Web!B45,"OK")+COUNTIF(Web!B46,"OK")+COUNTIF(Web!B47,"OK")+COUNTIF(Web!B48,"OK")+COUNTIF(Web!B49,"OK")+COUNTIF(Web!B52,"OK")+COUNTIF(Web!B53,"OK")+COUNTIF(Web!B54,"OK")+COUNTIF(Web!B55,"OK")+COUNTIF(Web!B56,"OK")+COUNTIF(Web!B57,"OK")+COUNTIF(Web!B58,"OK")+COUNTIF(Web!B59,"OK")+COUNTIF(Web!B60,"OK")+COUNTIF(Web!B61,"OK")+COUNTIF(Web!B62,"OK")+COUNTIF(Web!B63,"OK")+COUNTIF(Web!B64,"OK")+COUNTIF(Web!B67,"OK")+COUNTIF(Web!B68,"OK")+COUNTIF(Web!B69,"OK")+COUNTIF(Web!B70,"OK")+COUNTIF(Web!B71,"OK")+COUNTIF(Web!B72,"OK")+COUNTIF(Web!B73,"OK")+COUNTIF(Web!B74,"OK")+COUNTIF(Web!B75,"OK")+COUNTIF(Web!B76,"OK")+COUNTIF(Web!B77,"OK")+COUNTIF(Web!B78,"OK")+COUNTIF(Web!B81,"OK")+COUNTIF(Web!B82,"OK")+COUNTIF(Web!B83,"OK")+COUNTIF(Web!B84,"OK")+COUNTIF(Web!B85,"OK")+COUNTIF(Web!B86,"OK")+COUNTIF(Web!B87,"OK")+COUNTIF(Web!B88,"OK")+COUNTIF(Web!B89,"OK")+COUNTIF(Web!B90,"OK")+COUNTIF(Web!B91,"OK")+COUNTIF(Web!B92,"OK")+COUNTIF(Web!B93,"OK")+COUNTIF(Web!B94,"OK")+COUNTIF(Web!B95,"OK")+COUNTIF(Web!B96,"OK")+COUNTIF(Web!B97,"OK")+COUNTIF(Web!B98,"OK")+COUNTIF(Web!B99,"OK")+COUNTIF(Web!B100,"OK")+COUNTIF(Web!B101,"OK")+COUNTIF(Web!B102,"OK")+COUNTIF(Web!B103,"OK")+COUNTIF(Web!B104,"OK")+COUNTIF(Web!B105,"OK")+COUNTIF(Web!B106,"OK")+COUNTIF(Web!B107,"OK")+COUNTIF(Web!B108,"OK")+COUNTIF(Web!B109,"OK")+COUNTIF(Web!B112,"OK")+COUNTIF(Web!B113,"OK")+COUNTIF(Web!B114,"OK")+COUNTIF(Web!B115,"OK")+COUNTIF(Web!B116,"OK")+COUNTIF(Web!B117,"OK")+COUNTIF(Web!B118,"OK")+COUNTIF(Web!B119,"OK")+COUNTIF(Web!B120,"OK")+COUNTIF(Web!B121,"OK")+COUNTIF(Web!B124,"OK")+COUNTIF(Web!B125,"OK")+COUNTIF(Web!B126,"OK")+COUNTIF(Web!B127,"OK")+COUNTIF(Web!B128,"OK")+COUNTIF(Web!B129,"OK")+COUNTIF(Web!B130,"OK")+COUNTIF(Web!B133,"OK")+COUNTIF(Web!B134,"OK")+COUNTIF(Web!B135,"OK")+COUNTIF(Web!B136,"OK")+COUNTIF(Web!B137,"OK")+COUNTIF(Web!B138,"OK")+COUNTIF(Web!B139,"OK")+COUNTIF(Web!B142,"OK")+COUNTIF(Web!B143,"OK")+COUNTIF(Web!B144,"OK")+COUNTIF(Web!B145,"OK")+COUNTIF(Web!B146,"OK")+COUNTIF(Web!B147,"OK")+COUNTIF(Web!B148,"OK")+COUNTIF(Web!B149,"OK")+COUNTIF(Web!B150,"OK")+COUNTIF(Web!B153,"OK")+COUNTIF(Web!B154,"OK")+COUNTIF(Web!B155,"OK")+COUNTIF(Web!B156,"OK")+COUNTIF(Web!B157,"OK")+COUNTIF(Web!B158,"OK")+COUNTIF(Web!B159,"OK")+COUNTIF(Web!B160,"OK")+COUNTIF(Web!B161,"OK")+COUNTIF(Web!B162,"OK")+COUNTIF(Web!B165,"OK")+COUNTIF(Web!B166,"OK")+COUNTIF(Web!B167,"OK")+COUNTIF(Web!B168,"OK")+COUNTIF(Web!B169,"OK")+COUNTIF(Web!B170,"OK")+COUNTIF(Web!B171,"OK")+COUNTIF(Web!B174,"OK")+COUNTIF(Web!B175,"OK")+COUNTIF(Web!B176,"OK")+COUNTIF(Web!B177,"OK")+COUNTIF(Web!B178,"OK")+COUNTIF(Web!B179,"OK")+COUNTIF(Web!B180,"OK")+COUNTIF(Web!B181,"OK")+COUNTIF(Web!B182,"OK")+COUNTIF(Web!B185,"OK")+COUNTIF(Web!B186,"OK")+COUNTIF(Web!B187,"OK")+COUNTIF(Web!B188,"OK")+COUNTIF(Web!B189,"OK")+COUNTIF(Web!B190,"OK")+COUNTIF(Web!B191,"OK")+COUNTIF(Web!B192,"OK")+COUNTIF(Web!B193,"OK")+COUNTIF(Web!B194,"OK")+COUNTIF(Web!B197,"OK")+COUNTIF(Web!B198,"OK")+COUNTIF(Web!B199,"OK")+COUNTIF(Web!B200,"OK")+COUNTIF(Web!B201,"OK")+COUNTIF(Web!B204,"OK")+COUNTIF(Web!B205,"OK")+COUNTIF(Web!B206,"OK")+COUNTIF(Web!B207,"OK")+COUNTIF(Web!B208,"OK")+COUNTIF(Web!B209,"OK")</f>
        <v>0</v>
      </c>
      <c r="D3" s="4" t="n">
        <f aca="false">COUNTIF(Web!B3,"Finding")+COUNTIF(Web!B4,"Finding")+COUNTIF(Web!B5,"Finding")+COUNTIF(Web!B6,"Finding")+COUNTIF(Web!B7,"Finding")+COUNTIF(Web!B8,"Finding")+COUNTIF(Web!B9,"Finding")+COUNTIF(Web!B10,"Finding")+COUNTIF(Web!B11,"Finding")+COUNTIF(Web!B12,"Finding")+COUNTIF(Web!B13,"Finding")+COUNTIF(Web!B14,"Finding")+COUNTIF(Web!B15,"Finding")+COUNTIF(Web!B16,"Finding")+COUNTIF(Web!B17,"Finding")+COUNTIF(Web!B20,"Finding")+COUNTIF(Web!B21,"Finding")+COUNTIF(Web!B22,"Finding")+COUNTIF(Web!B23,"Finding")+COUNTIF(Web!B24,"Finding")+COUNTIF(Web!B25,"Finding")+COUNTIF(Web!B26,"Finding")+COUNTIF(Web!B27,"Finding")+COUNTIF(Web!B30,"Finding")+COUNTIF(Web!B31,"Finding")+COUNTIF(Web!B32,"Finding")+COUNTIF(Web!B33,"Finding")+COUNTIF(Web!B34,"Finding")+COUNTIF(Web!B35,"Finding")+COUNTIF(Web!B36,"Finding")+COUNTIF(Web!B37,"Finding")+COUNTIF(Web!B38,"Finding")+COUNTIF(Web!B39,"Finding")+COUNTIF(Web!B40,"Finding")+COUNTIF(Web!B41,"Finding")+COUNTIF(Web!B42,"Finding")+COUNTIF(Web!B43,"Finding")+COUNTIF(Web!B44,"Finding")+COUNTIF(Web!B45,"Finding")+COUNTIF(Web!B46,"Finding")+COUNTIF(Web!B47,"Finding")+COUNTIF(Web!B48,"Finding")+COUNTIF(Web!B49,"Finding")+COUNTIF(Web!B52,"Finding")+COUNTIF(Web!B53,"Finding")+COUNTIF(Web!B54,"Finding")+COUNTIF(Web!B55,"Finding")+COUNTIF(Web!B56,"Finding")+COUNTIF(Web!B57,"Finding")+COUNTIF(Web!B58,"Finding")+COUNTIF(Web!B59,"Finding")+COUNTIF(Web!B60,"Finding")+COUNTIF(Web!B61,"Finding")+COUNTIF(Web!B62,"Finding")+COUNTIF(Web!B63,"Finding")+COUNTIF(Web!B64,"Finding")+COUNTIF(Web!B67,"Finding")+COUNTIF(Web!B68,"Finding")+COUNTIF(Web!B69,"Finding")+COUNTIF(Web!B70,"Finding")+COUNTIF(Web!B71,"Finding")+COUNTIF(Web!B72,"Finding")+COUNTIF(Web!B73,"Finding")+COUNTIF(Web!B74,"Finding")+COUNTIF(Web!B75,"Finding")+COUNTIF(Web!B76,"Finding")+COUNTIF(Web!B77,"Finding")+COUNTIF(Web!B78,"Finding")+COUNTIF(Web!B81,"Finding")+COUNTIF(Web!B82,"Finding")+COUNTIF(Web!B83,"Finding")+COUNTIF(Web!B84,"Finding")+COUNTIF(Web!B85,"Finding")+COUNTIF(Web!B86,"Finding")+COUNTIF(Web!B87,"Finding")+COUNTIF(Web!B88,"Finding")+COUNTIF(Web!B89,"Finding")+COUNTIF(Web!B90,"Finding")+COUNTIF(Web!B91,"Finding")+COUNTIF(Web!B92,"Finding")+COUNTIF(Web!B93,"Finding")+COUNTIF(Web!B94,"Finding")+COUNTIF(Web!B95,"Finding")+COUNTIF(Web!B96,"Finding")+COUNTIF(Web!B97,"Finding")+COUNTIF(Web!B98,"Finding")+COUNTIF(Web!B99,"Finding")+COUNTIF(Web!B100,"Finding")+COUNTIF(Web!B101,"Finding")+COUNTIF(Web!B102,"Finding")+COUNTIF(Web!B103,"Finding")+COUNTIF(Web!B104,"Finding")+COUNTIF(Web!B105,"Finding")+COUNTIF(Web!B106,"Finding")+COUNTIF(Web!B107,"Finding")+COUNTIF(Web!B108,"Finding")+COUNTIF(Web!B109,"Finding")+COUNTIF(Web!B112,"Finding")+COUNTIF(Web!B113,"Finding")+COUNTIF(Web!B114,"Finding")+COUNTIF(Web!B115,"Finding")+COUNTIF(Web!B116,"Finding")+COUNTIF(Web!B117,"Finding")+COUNTIF(Web!B118,"Finding")+COUNTIF(Web!B119,"Finding")+COUNTIF(Web!B120,"Finding")+COUNTIF(Web!B121,"Finding")+COUNTIF(Web!B124,"Finding")+COUNTIF(Web!B125,"Finding")+COUNTIF(Web!B126,"Finding")+COUNTIF(Web!B127,"Finding")+COUNTIF(Web!B128,"Finding")+COUNTIF(Web!B129,"Finding")+COUNTIF(Web!B130,"Finding")+COUNTIF(Web!B133,"Finding")+COUNTIF(Web!B134,"Finding")+COUNTIF(Web!B135,"Finding")+COUNTIF(Web!B136,"Finding")+COUNTIF(Web!B137,"Finding")+COUNTIF(Web!B138,"Finding")+COUNTIF(Web!B139,"Finding")+COUNTIF(Web!B142,"Finding")+COUNTIF(Web!B143,"Finding")+COUNTIF(Web!B144,"Finding")+COUNTIF(Web!B145,"Finding")+COUNTIF(Web!B146,"Finding")+COUNTIF(Web!B147,"Finding")+COUNTIF(Web!B148,"Finding")+COUNTIF(Web!B149,"Finding")+COUNTIF(Web!B150,"Finding")+COUNTIF(Web!B153,"Finding")+COUNTIF(Web!B154,"Finding")+COUNTIF(Web!B155,"Finding")+COUNTIF(Web!B156,"Finding")+COUNTIF(Web!B157,"Finding")+COUNTIF(Web!B158,"Finding")+COUNTIF(Web!B159,"Finding")+COUNTIF(Web!B160,"Finding")+COUNTIF(Web!B161,"Finding")+COUNTIF(Web!B162,"Finding")+COUNTIF(Web!B165,"Finding")+COUNTIF(Web!B166,"Finding")+COUNTIF(Web!B167,"Finding")+COUNTIF(Web!B168,"Finding")+COUNTIF(Web!B169,"Finding")+COUNTIF(Web!B170,"Finding")+COUNTIF(Web!B171,"Finding")+COUNTIF(Web!B174,"Finding")+COUNTIF(Web!B175,"Finding")+COUNTIF(Web!B176,"Finding")+COUNTIF(Web!B177,"Finding")+COUNTIF(Web!B178,"Finding")+COUNTIF(Web!B179,"Finding")+COUNTIF(Web!B180,"Finding")+COUNTIF(Web!B181,"Finding")+COUNTIF(Web!B182,"Finding")+COUNTIF(Web!B185,"Finding")+COUNTIF(Web!B186,"Finding")+COUNTIF(Web!B187,"Finding")+COUNTIF(Web!B188,"Finding")+COUNTIF(Web!B189,"Finding")+COUNTIF(Web!B190,"Finding")+COUNTIF(Web!B191,"Finding")+COUNTIF(Web!B192,"Finding")+COUNTIF(Web!B193,"Finding")+COUNTIF(Web!B194,"Finding")+COUNTIF(Web!B197,"Finding")+COUNTIF(Web!B198,"Finding")+COUNTIF(Web!B199,"Finding")+COUNTIF(Web!B200,"Finding")+COUNTIF(Web!B201,"Finding")+COUNTIF(Web!B204,"Finding")+COUNTIF(Web!B205,"Finding")+COUNTIF(Web!B206,"Finding")+COUNTIF(Web!B207,"Finding")+COUNTIF(Web!B208,"Finding")+COUNTIF(Web!B209,"Finding")</f>
        <v>0</v>
      </c>
      <c r="E3" s="4" t="n">
        <f aca="false">COUNTIF(Web!B3,"Investigate")+COUNTIF(Web!B4,"Investigate")+COUNTIF(Web!B5,"Investigate")+COUNTIF(Web!B6,"Investigate")+COUNTIF(Web!B7,"Investigate")+COUNTIF(Web!B8,"Investigate")+COUNTIF(Web!B9,"Investigate")+COUNTIF(Web!B10,"Investigate")+COUNTIF(Web!B11,"Investigate")+COUNTIF(Web!B12,"Investigate")+COUNTIF(Web!B13,"Investigate")+COUNTIF(Web!B14,"Investigate")+COUNTIF(Web!B15,"Investigate")+COUNTIF(Web!B16,"Investigate")+COUNTIF(Web!B17,"Investigate")+COUNTIF(Web!B20,"Investigate")+COUNTIF(Web!B21,"Investigate")+COUNTIF(Web!B22,"Investigate")+COUNTIF(Web!B23,"Investigate")+COUNTIF(Web!B24,"Investigate")+COUNTIF(Web!B25,"Investigate")+COUNTIF(Web!B26,"Investigate")+COUNTIF(Web!B27,"Investigate")+COUNTIF(Web!B30,"Investigate")+COUNTIF(Web!B31,"Investigate")+COUNTIF(Web!B32,"Investigate")+COUNTIF(Web!B33,"Investigate")+COUNTIF(Web!B34,"Investigate")+COUNTIF(Web!B35,"Investigate")+COUNTIF(Web!B36,"Investigate")+COUNTIF(Web!B37,"Investigate")+COUNTIF(Web!B38,"Investigate")+COUNTIF(Web!B39,"Investigate")+COUNTIF(Web!B40,"Investigate")+COUNTIF(Web!B41,"Investigate")+COUNTIF(Web!B42,"Investigate")+COUNTIF(Web!B43,"Investigate")+COUNTIF(Web!B44,"Investigate")+COUNTIF(Web!B45,"Investigate")+COUNTIF(Web!B46,"Investigate")+COUNTIF(Web!B47,"Investigate")+COUNTIF(Web!B48,"Investigate")+COUNTIF(Web!B49,"Investigate")+COUNTIF(Web!B52,"Investigate")+COUNTIF(Web!B53,"Investigate")+COUNTIF(Web!B54,"Investigate")+COUNTIF(Web!B55,"Investigate")+COUNTIF(Web!B56,"Investigate")+COUNTIF(Web!B57,"Investigate")+COUNTIF(Web!B58,"Investigate")+COUNTIF(Web!B59,"Investigate")+COUNTIF(Web!B60,"Investigate")+COUNTIF(Web!B61,"Investigate")+COUNTIF(Web!B62,"Investigate")+COUNTIF(Web!B63,"Investigate")+COUNTIF(Web!B64,"Investigate")+COUNTIF(Web!B67,"Investigate")+COUNTIF(Web!B68,"Investigate")+COUNTIF(Web!B69,"Investigate")+COUNTIF(Web!B70,"Investigate")+COUNTIF(Web!B71,"Investigate")+COUNTIF(Web!B72,"Investigate")+COUNTIF(Web!B73,"Investigate")+COUNTIF(Web!B74,"Investigate")+COUNTIF(Web!B75,"Investigate")+COUNTIF(Web!B76,"Investigate")+COUNTIF(Web!B77,"Investigate")+COUNTIF(Web!B78,"Investigate")+COUNTIF(Web!B81,"Investigate")+COUNTIF(Web!B82,"Investigate")+COUNTIF(Web!B83,"Investigate")+COUNTIF(Web!B84,"Investigate")+COUNTIF(Web!B85,"Investigate")+COUNTIF(Web!B86,"Investigate")+COUNTIF(Web!B87,"Investigate")+COUNTIF(Web!B88,"Investigate")+COUNTIF(Web!B89,"Investigate")+COUNTIF(Web!B90,"Investigate")+COUNTIF(Web!B91,"Investigate")+COUNTIF(Web!B92,"Investigate")+COUNTIF(Web!B93,"Investigate")+COUNTIF(Web!B94,"Investigate")+COUNTIF(Web!B95,"Investigate")+COUNTIF(Web!B96,"Investigate")+COUNTIF(Web!B97,"Investigate")+COUNTIF(Web!B98,"Investigate")+COUNTIF(Web!B99,"Investigate")+COUNTIF(Web!B100,"Investigate")+COUNTIF(Web!B101,"Investigate")+COUNTIF(Web!B102,"Investigate")+COUNTIF(Web!B103,"Investigate")+COUNTIF(Web!B104,"Investigate")+COUNTIF(Web!B105,"Investigate")+COUNTIF(Web!B106,"Investigate")+COUNTIF(Web!B107,"Investigate")+COUNTIF(Web!B108,"Investigate")+COUNTIF(Web!B109,"Investigate")+COUNTIF(Web!B112,"Investigate")+COUNTIF(Web!B113,"Investigate")+COUNTIF(Web!B114,"Investigate")+COUNTIF(Web!B115,"Investigate")+COUNTIF(Web!B116,"Investigate")+COUNTIF(Web!B117,"Investigate")+COUNTIF(Web!B118,"Investigate")+COUNTIF(Web!B119,"Investigate")+COUNTIF(Web!B120,"Investigate")+COUNTIF(Web!B121,"Investigate")+COUNTIF(Web!B124,"Investigate")+COUNTIF(Web!B125,"Investigate")+COUNTIF(Web!B126,"Investigate")+COUNTIF(Web!B127,"Investigate")+COUNTIF(Web!B128,"Investigate")+COUNTIF(Web!B129,"Investigate")+COUNTIF(Web!B130,"Investigate")+COUNTIF(Web!B133,"Investigate")+COUNTIF(Web!B134,"Investigate")+COUNTIF(Web!B135,"Investigate")+COUNTIF(Web!B136,"Investigate")+COUNTIF(Web!B137,"Investigate")+COUNTIF(Web!B138,"Investigate")+COUNTIF(Web!B139,"Investigate")+COUNTIF(Web!B142,"Investigate")+COUNTIF(Web!B143,"Investigate")+COUNTIF(Web!B144,"Investigate")+COUNTIF(Web!B145,"Investigate")+COUNTIF(Web!B146,"Investigate")+COUNTIF(Web!B147,"Investigate")+COUNTIF(Web!B148,"Investigate")+COUNTIF(Web!B149,"Investigate")+COUNTIF(Web!B150,"Investigate")+COUNTIF(Web!B153,"Investigate")+COUNTIF(Web!B154,"Investigate")+COUNTIF(Web!B155,"Investigate")+COUNTIF(Web!B156,"Investigate")+COUNTIF(Web!B157,"Investigate")+COUNTIF(Web!B158,"Investigate")+COUNTIF(Web!B159,"Investigate")+COUNTIF(Web!B160,"Investigate")+COUNTIF(Web!B161,"Investigate")+COUNTIF(Web!B162,"Investigate")+COUNTIF(Web!B165,"Investigate")+COUNTIF(Web!B166,"Investigate")+COUNTIF(Web!B167,"Investigate")+COUNTIF(Web!B168,"Investigate")+COUNTIF(Web!B169,"Investigate")+COUNTIF(Web!B170,"Investigate")+COUNTIF(Web!B171,"Investigate")+COUNTIF(Web!B174,"Investigate")+COUNTIF(Web!B175,"Investigate")+COUNTIF(Web!B176,"Investigate")+COUNTIF(Web!B177,"Investigate")+COUNTIF(Web!B178,"Investigate")+COUNTIF(Web!B179,"Investigate")+COUNTIF(Web!B180,"Investigate")+COUNTIF(Web!B181,"Investigate")+COUNTIF(Web!B182,"Investigate")+COUNTIF(Web!B185,"Investigate")+COUNTIF(Web!B186,"Investigate")+COUNTIF(Web!B187,"Investigate")+COUNTIF(Web!B188,"Investigate")+COUNTIF(Web!B189,"Investigate")+COUNTIF(Web!B190,"Investigate")+COUNTIF(Web!B191,"Investigate")+COUNTIF(Web!B192,"Investigate")+COUNTIF(Web!B193,"Investigate")+COUNTIF(Web!B194,"Investigate")+COUNTIF(Web!B197,"Investigate")+COUNTIF(Web!B198,"Investigate")+COUNTIF(Web!B199,"Investigate")+COUNTIF(Web!B200,"Investigate")+COUNTIF(Web!B201,"Investigate")+COUNTIF(Web!B204,"Investigate")+COUNTIF(Web!B205,"Investigate")+COUNTIF(Web!B206,"Investigate")+COUNTIF(Web!B207,"Investigate")+COUNTIF(Web!B208,"Investigate")+COUNTIF(Web!B209,"Investigate")</f>
        <v>0</v>
      </c>
      <c r="F3" s="5"/>
    </row>
    <row r="4" customFormat="false" ht="18" hidden="false" customHeight="true" outlineLevel="0" collapsed="false">
      <c r="A4" s="7" t="s">
        <v>7</v>
      </c>
      <c r="B4" s="8" t="n">
        <v>15</v>
      </c>
      <c r="C4" s="8" t="n">
        <f aca="false">COUNTIF(Web!B3,"OK")+COUNTIF(Web!B4,"OK")+COUNTIF(Web!B5,"OK")+COUNTIF(Web!B6,"OK")+COUNTIF(Web!B7,"OK")+COUNTIF(Web!B8,"OK")+COUNTIF(Web!B9,"OK")+COUNTIF(Web!B10,"OK")+COUNTIF(Web!B11,"OK")+COUNTIF(Web!B12,"OK")+COUNTIF(Web!B13,"OK")+COUNTIF(Web!B14,"OK")+COUNTIF(Web!B15,"OK")+COUNTIF(Web!B16,"OK")+COUNTIF(Web!B17,"OK")</f>
        <v>0</v>
      </c>
      <c r="D4" s="8" t="n">
        <f aca="false">COUNTIF(Web!B3,"Finding")+COUNTIF(Web!B4,"Finding")+COUNTIF(Web!B5,"Finding")+COUNTIF(Web!B6,"Finding")+COUNTIF(Web!B7,"Finding")+COUNTIF(Web!B8,"Finding")+COUNTIF(Web!B9,"Finding")+COUNTIF(Web!B10,"Finding")+COUNTIF(Web!B11,"Finding")+COUNTIF(Web!B12,"Finding")+COUNTIF(Web!B13,"Finding")+COUNTIF(Web!B14,"Finding")+COUNTIF(Web!B15,"Finding")+COUNTIF(Web!B16,"Finding")+COUNTIF(Web!B17,"Finding")</f>
        <v>0</v>
      </c>
      <c r="E4" s="8" t="n">
        <f aca="false">COUNTIF(Web!B3,"Investigate")+COUNTIF(Web!B4,"Investigate")+COUNTIF(Web!B5,"Investigate")+COUNTIF(Web!B6,"Investigate")+COUNTIF(Web!B7,"Investigate")+COUNTIF(Web!B8,"Investigate")+COUNTIF(Web!B9,"Investigate")+COUNTIF(Web!B10,"Investigate")+COUNTIF(Web!B11,"Investigate")+COUNTIF(Web!B12,"Investigate")+COUNTIF(Web!B13,"Investigate")+COUNTIF(Web!B14,"Investigate")+COUNTIF(Web!B15,"Investigate")+COUNTIF(Web!B16,"Investigate")+COUNTIF(Web!B17,"Investigate")</f>
        <v>0</v>
      </c>
      <c r="F4" s="9"/>
    </row>
    <row r="5" customFormat="false" ht="18" hidden="false" customHeight="true" outlineLevel="0" collapsed="false">
      <c r="A5" s="7" t="s">
        <v>8</v>
      </c>
      <c r="B5" s="8" t="n">
        <v>8</v>
      </c>
      <c r="C5" s="8" t="n">
        <f aca="false">COUNTIF(Web!B20,"OK")+COUNTIF(Web!B21,"OK")+COUNTIF(Web!B22,"OK")+COUNTIF(Web!B23,"OK")+COUNTIF(Web!B24,"OK")+COUNTIF(Web!B25,"OK")+COUNTIF(Web!B26,"OK")+COUNTIF(Web!B27,"OK")</f>
        <v>0</v>
      </c>
      <c r="D5" s="8" t="n">
        <f aca="false">COUNTIF(Web!B20,"Finding")+COUNTIF(Web!B21,"Finding")+COUNTIF(Web!B22,"Finding")+COUNTIF(Web!B23,"Finding")+COUNTIF(Web!B24,"Finding")+COUNTIF(Web!B25,"Finding")+COUNTIF(Web!B26,"Finding")+COUNTIF(Web!B27,"Finding")</f>
        <v>0</v>
      </c>
      <c r="E5" s="8" t="n">
        <f aca="false">COUNTIF(Web!B20,"Investigate")+COUNTIF(Web!B21,"Investigate")+COUNTIF(Web!B22,"Investigate")+COUNTIF(Web!B23,"Investigate")+COUNTIF(Web!B24,"Investigate")+COUNTIF(Web!B25,"Investigate")+COUNTIF(Web!B26,"Investigate")+COUNTIF(Web!B27,"Investigate")</f>
        <v>0</v>
      </c>
      <c r="F5" s="9"/>
    </row>
    <row r="6" customFormat="false" ht="18" hidden="false" customHeight="true" outlineLevel="0" collapsed="false">
      <c r="A6" s="7" t="s">
        <v>9</v>
      </c>
      <c r="B6" s="8" t="n">
        <v>20</v>
      </c>
      <c r="C6" s="8" t="n">
        <f aca="false">COUNTIF(Web!B30,"OK")+COUNTIF(Web!B31,"OK")+COUNTIF(Web!B32,"OK")+COUNTIF(Web!B33,"OK")+COUNTIF(Web!B34,"OK")+COUNTIF(Web!B35,"OK")+COUNTIF(Web!B36,"OK")+COUNTIF(Web!B37,"OK")+COUNTIF(Web!B38,"OK")+COUNTIF(Web!B39,"OK")+COUNTIF(Web!B40,"OK")+COUNTIF(Web!B41,"OK")+COUNTIF(Web!B42,"OK")+COUNTIF(Web!B43,"OK")+COUNTIF(Web!B44,"OK")+COUNTIF(Web!B45,"OK")+COUNTIF(Web!B46,"OK")+COUNTIF(Web!B47,"OK")+COUNTIF(Web!B48,"OK")+COUNTIF(Web!B49,"OK")</f>
        <v>0</v>
      </c>
      <c r="D6" s="8" t="n">
        <f aca="false">COUNTIF(Web!B30,"Finding")+COUNTIF(Web!B31,"Finding")+COUNTIF(Web!B32,"Finding")+COUNTIF(Web!B33,"Finding")+COUNTIF(Web!B34,"Finding")+COUNTIF(Web!B35,"Finding")+COUNTIF(Web!B36,"Finding")+COUNTIF(Web!B37,"Finding")+COUNTIF(Web!B38,"Finding")+COUNTIF(Web!B39,"Finding")+COUNTIF(Web!B40,"Finding")+COUNTIF(Web!B41,"Finding")+COUNTIF(Web!B42,"Finding")+COUNTIF(Web!B43,"Finding")+COUNTIF(Web!B44,"Finding")+COUNTIF(Web!B45,"Finding")+COUNTIF(Web!B46,"Finding")+COUNTIF(Web!B47,"Finding")+COUNTIF(Web!B48,"Finding")+COUNTIF(Web!B49,"Finding")</f>
        <v>0</v>
      </c>
      <c r="E6" s="8" t="n">
        <f aca="false">COUNTIF(Web!B30,"Investigate")+COUNTIF(Web!B31,"Investigate")+COUNTIF(Web!B32,"Investigate")+COUNTIF(Web!B33,"Investigate")+COUNTIF(Web!B34,"Investigate")+COUNTIF(Web!B35,"Investigate")+COUNTIF(Web!B36,"Investigate")+COUNTIF(Web!B37,"Investigate")+COUNTIF(Web!B38,"Investigate")+COUNTIF(Web!B39,"Investigate")+COUNTIF(Web!B40,"Investigate")+COUNTIF(Web!B41,"Investigate")+COUNTIF(Web!B42,"Investigate")+COUNTIF(Web!B43,"Investigate")+COUNTIF(Web!B44,"Investigate")+COUNTIF(Web!B45,"Investigate")+COUNTIF(Web!B46,"Investigate")+COUNTIF(Web!B47,"Investigate")+COUNTIF(Web!B48,"Investigate")+COUNTIF(Web!B49,"Investigate")</f>
        <v>0</v>
      </c>
      <c r="F6" s="9"/>
    </row>
    <row r="7" customFormat="false" ht="18" hidden="false" customHeight="true" outlineLevel="0" collapsed="false">
      <c r="A7" s="7" t="s">
        <v>10</v>
      </c>
      <c r="B7" s="8" t="n">
        <v>13</v>
      </c>
      <c r="C7" s="8" t="n">
        <f aca="false">COUNTIF(Web!B52,"OK")+COUNTIF(Web!B53,"OK")+COUNTIF(Web!B54,"OK")+COUNTIF(Web!B55,"OK")+COUNTIF(Web!B56,"OK")+COUNTIF(Web!B57,"OK")+COUNTIF(Web!B58,"OK")+COUNTIF(Web!B59,"OK")+COUNTIF(Web!B60,"OK")+COUNTIF(Web!B61,"OK")+COUNTIF(Web!B62,"OK")+COUNTIF(Web!B63,"OK")+COUNTIF(Web!B64,"OK")</f>
        <v>0</v>
      </c>
      <c r="D7" s="8" t="n">
        <f aca="false">COUNTIF(Web!B52,"Finding")+COUNTIF(Web!B53,"Finding")+COUNTIF(Web!B54,"Finding")+COUNTIF(Web!B55,"Finding")+COUNTIF(Web!B56,"Finding")+COUNTIF(Web!B57,"Finding")+COUNTIF(Web!B58,"Finding")+COUNTIF(Web!B59,"Finding")+COUNTIF(Web!B60,"Finding")+COUNTIF(Web!B61,"Finding")+COUNTIF(Web!B62,"Finding")+COUNTIF(Web!B63,"Finding")+COUNTIF(Web!B64,"Finding")</f>
        <v>0</v>
      </c>
      <c r="E7" s="8" t="n">
        <f aca="false">COUNTIF(Web!B52,"Investigate")+COUNTIF(Web!B53,"Investigate")+COUNTIF(Web!B54,"Investigate")+COUNTIF(Web!B55,"Investigate")+COUNTIF(Web!B56,"Investigate")+COUNTIF(Web!B57,"Investigate")+COUNTIF(Web!B58,"Investigate")+COUNTIF(Web!B59,"Investigate")+COUNTIF(Web!B60,"Investigate")+COUNTIF(Web!B61,"Investigate")+COUNTIF(Web!B62,"Investigate")+COUNTIF(Web!B63,"Investigate")+COUNTIF(Web!B64,"Investigate")</f>
        <v>0</v>
      </c>
      <c r="F7" s="9"/>
    </row>
    <row r="8" customFormat="false" ht="18" hidden="false" customHeight="true" outlineLevel="0" collapsed="false">
      <c r="A8" s="7" t="s">
        <v>11</v>
      </c>
      <c r="B8" s="8" t="n">
        <v>12</v>
      </c>
      <c r="C8" s="8" t="n">
        <f aca="false">COUNTIF(Web!B67,"OK")+COUNTIF(Web!B68,"OK")+COUNTIF(Web!B69,"OK")+COUNTIF(Web!B70,"OK")+COUNTIF(Web!B71,"OK")+COUNTIF(Web!B72,"OK")+COUNTIF(Web!B73,"OK")+COUNTIF(Web!B74,"OK")+COUNTIF(Web!B75,"OK")+COUNTIF(Web!B76,"OK")+COUNTIF(Web!B77,"OK")+COUNTIF(Web!B78,"OK")</f>
        <v>0</v>
      </c>
      <c r="D8" s="8" t="n">
        <f aca="false">COUNTIF(Web!B67,"Finding")+COUNTIF(Web!B68,"Finding")+COUNTIF(Web!B69,"Finding")+COUNTIF(Web!B70,"Finding")+COUNTIF(Web!B71,"Finding")+COUNTIF(Web!B72,"Finding")+COUNTIF(Web!B73,"Finding")+COUNTIF(Web!B74,"Finding")+COUNTIF(Web!B75,"Finding")+COUNTIF(Web!B76,"Finding")+COUNTIF(Web!B77,"Finding")+COUNTIF(Web!B78,"Finding")</f>
        <v>0</v>
      </c>
      <c r="E8" s="8" t="n">
        <f aca="false">COUNTIF(Web!B67,"Investigate")+COUNTIF(Web!B68,"Investigate")+COUNTIF(Web!B69,"Investigate")+COUNTIF(Web!B70,"Investigate")+COUNTIF(Web!B71,"Investigate")+COUNTIF(Web!B72,"Investigate")+COUNTIF(Web!B73,"Investigate")+COUNTIF(Web!B74,"Investigate")+COUNTIF(Web!B75,"Investigate")+COUNTIF(Web!B76,"Investigate")+COUNTIF(Web!B77,"Investigate")+COUNTIF(Web!B78,"Investigate")</f>
        <v>0</v>
      </c>
      <c r="F8" s="9"/>
    </row>
    <row r="9" customFormat="false" ht="18" hidden="false" customHeight="true" outlineLevel="0" collapsed="false">
      <c r="A9" s="7" t="s">
        <v>12</v>
      </c>
      <c r="B9" s="8" t="n">
        <v>29</v>
      </c>
      <c r="C9" s="8" t="n">
        <f aca="false">COUNTIF(Web!B81,"OK")+COUNTIF(Web!B82,"OK")+COUNTIF(Web!B83,"OK")+COUNTIF(Web!B84,"OK")+COUNTIF(Web!B85,"OK")+COUNTIF(Web!B86,"OK")+COUNTIF(Web!B87,"OK")+COUNTIF(Web!B88,"OK")+COUNTIF(Web!B89,"OK")+COUNTIF(Web!B90,"OK")+COUNTIF(Web!B91,"OK")+COUNTIF(Web!B92,"OK")+COUNTIF(Web!B93,"OK")+COUNTIF(Web!B94,"OK")+COUNTIF(Web!B95,"OK")+COUNTIF(Web!B96,"OK")+COUNTIF(Web!B97,"OK")+COUNTIF(Web!B98,"OK")+COUNTIF(Web!B99,"OK")+COUNTIF(Web!B100,"OK")+COUNTIF(Web!B101,"OK")+COUNTIF(Web!B102,"OK")+COUNTIF(Web!B103,"OK")+COUNTIF(Web!B104,"OK")+COUNTIF(Web!B105,"OK")+COUNTIF(Web!B106,"OK")+COUNTIF(Web!B107,"OK")+COUNTIF(Web!B108,"OK")+COUNTIF(Web!B109,"OK")</f>
        <v>0</v>
      </c>
      <c r="D9" s="8" t="n">
        <f aca="false">COUNTIF(Web!B81,"Finding")+COUNTIF(Web!B82,"Finding")+COUNTIF(Web!B83,"Finding")+COUNTIF(Web!B84,"Finding")+COUNTIF(Web!B85,"Finding")+COUNTIF(Web!B86,"Finding")+COUNTIF(Web!B87,"Finding")+COUNTIF(Web!B88,"Finding")+COUNTIF(Web!B89,"Finding")+COUNTIF(Web!B90,"Finding")+COUNTIF(Web!B91,"Finding")+COUNTIF(Web!B92,"Finding")+COUNTIF(Web!B93,"Finding")+COUNTIF(Web!B94,"Finding")+COUNTIF(Web!B95,"Finding")+COUNTIF(Web!B96,"Finding")+COUNTIF(Web!B97,"Finding")+COUNTIF(Web!B98,"Finding")+COUNTIF(Web!B99,"Finding")+COUNTIF(Web!B100,"Finding")+COUNTIF(Web!B101,"Finding")+COUNTIF(Web!B102,"Finding")+COUNTIF(Web!B103,"Finding")+COUNTIF(Web!B104,"Finding")+COUNTIF(Web!B105,"Finding")+COUNTIF(Web!B106,"Finding")+COUNTIF(Web!B107,"Finding")+COUNTIF(Web!B108,"Finding")+COUNTIF(Web!B109,"Finding")</f>
        <v>0</v>
      </c>
      <c r="E9" s="8" t="n">
        <f aca="false">COUNTIF(Web!B81,"Investigate")+COUNTIF(Web!B82,"Investigate")+COUNTIF(Web!B83,"Investigate")+COUNTIF(Web!B84,"Investigate")+COUNTIF(Web!B85,"Investigate")+COUNTIF(Web!B86,"Investigate")+COUNTIF(Web!B87,"Investigate")+COUNTIF(Web!B88,"Investigate")+COUNTIF(Web!B89,"Investigate")+COUNTIF(Web!B90,"Investigate")+COUNTIF(Web!B91,"Investigate")+COUNTIF(Web!B92,"Investigate")+COUNTIF(Web!B93,"Investigate")+COUNTIF(Web!B94,"Investigate")+COUNTIF(Web!B95,"Investigate")+COUNTIF(Web!B96,"Investigate")+COUNTIF(Web!B97,"Investigate")+COUNTIF(Web!B98,"Investigate")+COUNTIF(Web!B99,"Investigate")+COUNTIF(Web!B100,"Investigate")+COUNTIF(Web!B101,"Investigate")+COUNTIF(Web!B102,"Investigate")+COUNTIF(Web!B103,"Investigate")+COUNTIF(Web!B104,"Investigate")+COUNTIF(Web!B105,"Investigate")+COUNTIF(Web!B106,"Investigate")+COUNTIF(Web!B107,"Investigate")+COUNTIF(Web!B108,"Investigate")+COUNTIF(Web!B109,"Investigate")</f>
        <v>0</v>
      </c>
      <c r="F9" s="9"/>
    </row>
    <row r="10" customFormat="false" ht="18" hidden="false" customHeight="true" outlineLevel="0" collapsed="false">
      <c r="A10" s="7" t="s">
        <v>13</v>
      </c>
      <c r="B10" s="8" t="n">
        <v>10</v>
      </c>
      <c r="C10" s="8" t="n">
        <f aca="false">COUNTIF(Web!B112,"OK")+COUNTIF(Web!B113,"OK")+COUNTIF(Web!B114,"OK")+COUNTIF(Web!B115,"OK")+COUNTIF(Web!B116,"OK")+COUNTIF(Web!B117,"OK")+COUNTIF(Web!B118,"OK")+COUNTIF(Web!B119,"OK")+COUNTIF(Web!B120,"OK")+COUNTIF(Web!B121,"OK")</f>
        <v>0</v>
      </c>
      <c r="D10" s="8" t="n">
        <f aca="false">COUNTIF(Web!B112,"Finding")+COUNTIF(Web!B113,"Finding")+COUNTIF(Web!B114,"Finding")+COUNTIF(Web!B115,"Finding")+COUNTIF(Web!B116,"Finding")+COUNTIF(Web!B117,"Finding")+COUNTIF(Web!B118,"Finding")+COUNTIF(Web!B119,"Finding")+COUNTIF(Web!B120,"Finding")+COUNTIF(Web!B121,"Finding")</f>
        <v>0</v>
      </c>
      <c r="E10" s="8" t="n">
        <f aca="false">COUNTIF(Web!B112,"Investigate")+COUNTIF(Web!B113,"Investigate")+COUNTIF(Web!B114,"Investigate")+COUNTIF(Web!B115,"Investigate")+COUNTIF(Web!B116,"Investigate")+COUNTIF(Web!B117,"Investigate")+COUNTIF(Web!B118,"Investigate")+COUNTIF(Web!B119,"Investigate")+COUNTIF(Web!B120,"Investigate")+COUNTIF(Web!B121,"Investigate")</f>
        <v>0</v>
      </c>
      <c r="F10" s="9"/>
    </row>
    <row r="11" customFormat="false" ht="18" hidden="false" customHeight="true" outlineLevel="0" collapsed="false">
      <c r="A11" s="7" t="s">
        <v>14</v>
      </c>
      <c r="B11" s="8" t="n">
        <v>7</v>
      </c>
      <c r="C11" s="8" t="n">
        <f aca="false">COUNTIF(Web!B124,"OK")+COUNTIF(Web!B125,"OK")+COUNTIF(Web!B126,"OK")+COUNTIF(Web!B127,"OK")+COUNTIF(Web!B128,"OK")+COUNTIF(Web!B129,"OK")+COUNTIF(Web!B130,"OK")</f>
        <v>0</v>
      </c>
      <c r="D11" s="8" t="n">
        <f aca="false">COUNTIF(Web!B124,"Finding")+COUNTIF(Web!B125,"Finding")+COUNTIF(Web!B126,"Finding")+COUNTIF(Web!B127,"Finding")+COUNTIF(Web!B128,"Finding")+COUNTIF(Web!B129,"Finding")+COUNTIF(Web!B130,"Finding")</f>
        <v>0</v>
      </c>
      <c r="E11" s="8" t="n">
        <f aca="false">COUNTIF(Web!B124,"Investigate")+COUNTIF(Web!B125,"Investigate")+COUNTIF(Web!B126,"Investigate")+COUNTIF(Web!B127,"Investigate")+COUNTIF(Web!B128,"Investigate")+COUNTIF(Web!B129,"Investigate")+COUNTIF(Web!B130,"Investigate")</f>
        <v>0</v>
      </c>
      <c r="F11" s="9"/>
    </row>
    <row r="12" customFormat="false" ht="18" hidden="false" customHeight="true" outlineLevel="0" collapsed="false">
      <c r="A12" s="7" t="s">
        <v>15</v>
      </c>
      <c r="B12" s="8" t="n">
        <v>7</v>
      </c>
      <c r="C12" s="8" t="n">
        <f aca="false">COUNTIF(Web!B133,"OK")+COUNTIF(Web!B134,"OK")+COUNTIF(Web!B135,"OK")+COUNTIF(Web!B136,"OK")+COUNTIF(Web!B137,"OK")+COUNTIF(Web!B138,"OK")+COUNTIF(Web!B139,"OK")</f>
        <v>0</v>
      </c>
      <c r="D12" s="8" t="n">
        <f aca="false">COUNTIF(Web!B133,"Finding")+COUNTIF(Web!B134,"Finding")+COUNTIF(Web!B135,"Finding")+COUNTIF(Web!B136,"Finding")+COUNTIF(Web!B137,"Finding")+COUNTIF(Web!B138,"Finding")+COUNTIF(Web!B139,"Finding")</f>
        <v>0</v>
      </c>
      <c r="E12" s="8" t="n">
        <f aca="false">COUNTIF(Web!B133,"Investigate")+COUNTIF(Web!B134,"Investigate")+COUNTIF(Web!B135,"Investigate")+COUNTIF(Web!B136,"Investigate")+COUNTIF(Web!B137,"Investigate")+COUNTIF(Web!B138,"Investigate")+COUNTIF(Web!B139,"Investigate")</f>
        <v>0</v>
      </c>
      <c r="F12" s="9"/>
    </row>
    <row r="13" customFormat="false" ht="18" hidden="false" customHeight="true" outlineLevel="0" collapsed="false">
      <c r="A13" s="7" t="s">
        <v>16</v>
      </c>
      <c r="B13" s="8" t="n">
        <v>9</v>
      </c>
      <c r="C13" s="8" t="n">
        <f aca="false">COUNTIF(Web!B142,"OK")+COUNTIF(Web!B143,"OK")+COUNTIF(Web!B144,"OK")+COUNTIF(Web!B145,"OK")+COUNTIF(Web!B146,"OK")+COUNTIF(Web!B147,"OK")+COUNTIF(Web!B148,"OK")+COUNTIF(Web!B149,"OK")+COUNTIF(Web!B150,"OK")</f>
        <v>0</v>
      </c>
      <c r="D13" s="8" t="n">
        <f aca="false">COUNTIF(Web!B142,"Finding")+COUNTIF(Web!B143,"Finding")+COUNTIF(Web!B144,"Finding")+COUNTIF(Web!B145,"Finding")+COUNTIF(Web!B146,"Finding")+COUNTIF(Web!B147,"Finding")+COUNTIF(Web!B148,"Finding")+COUNTIF(Web!B149,"Finding")+COUNTIF(Web!B150,"Finding")</f>
        <v>0</v>
      </c>
      <c r="E13" s="8" t="n">
        <f aca="false">COUNTIF(Web!B142,"Investigate")+COUNTIF(Web!B143,"Investigate")+COUNTIF(Web!B144,"Investigate")+COUNTIF(Web!B145,"Investigate")+COUNTIF(Web!B146,"Investigate")+COUNTIF(Web!B147,"Investigate")+COUNTIF(Web!B148,"Investigate")+COUNTIF(Web!B149,"Investigate")+COUNTIF(Web!B150,"Investigate")</f>
        <v>0</v>
      </c>
      <c r="F13" s="9"/>
    </row>
    <row r="14" customFormat="false" ht="18" hidden="false" customHeight="true" outlineLevel="0" collapsed="false">
      <c r="A14" s="7" t="s">
        <v>17</v>
      </c>
      <c r="B14" s="8" t="n">
        <v>10</v>
      </c>
      <c r="C14" s="8" t="n">
        <f aca="false">COUNTIF(Web!B153,"OK")+COUNTIF(Web!B154,"OK")+COUNTIF(Web!B155,"OK")+COUNTIF(Web!B156,"OK")+COUNTIF(Web!B157,"OK")+COUNTIF(Web!B158,"OK")+COUNTIF(Web!B159,"OK")+COUNTIF(Web!B160,"OK")+COUNTIF(Web!B161,"OK")+COUNTIF(Web!B162,"OK")</f>
        <v>0</v>
      </c>
      <c r="D14" s="8" t="n">
        <f aca="false">COUNTIF(Web!B153,"Finding")+COUNTIF(Web!B154,"Finding")+COUNTIF(Web!B155,"Finding")+COUNTIF(Web!B156,"Finding")+COUNTIF(Web!B157,"Finding")+COUNTIF(Web!B158,"Finding")+COUNTIF(Web!B159,"Finding")+COUNTIF(Web!B160,"Finding")+COUNTIF(Web!B161,"Finding")+COUNTIF(Web!B162,"Finding")</f>
        <v>0</v>
      </c>
      <c r="E14" s="8" t="n">
        <f aca="false">COUNTIF(Web!B153,"Investigate")+COUNTIF(Web!B154,"Investigate")+COUNTIF(Web!B155,"Investigate")+COUNTIF(Web!B156,"Investigate")+COUNTIF(Web!B157,"Investigate")+COUNTIF(Web!B158,"Investigate")+COUNTIF(Web!B159,"Investigate")+COUNTIF(Web!B160,"Investigate")+COUNTIF(Web!B161,"Investigate")+COUNTIF(Web!B162,"Investigate")</f>
        <v>0</v>
      </c>
      <c r="F14" s="9"/>
    </row>
    <row r="15" customFormat="false" ht="18" hidden="false" customHeight="true" outlineLevel="0" collapsed="false">
      <c r="A15" s="7" t="s">
        <v>18</v>
      </c>
      <c r="B15" s="8" t="n">
        <v>7</v>
      </c>
      <c r="C15" s="8" t="n">
        <f aca="false">COUNTIF(Web!B165,"OK")+COUNTIF(Web!B166,"OK")+COUNTIF(Web!B167,"OK")+COUNTIF(Web!B168,"OK")+COUNTIF(Web!B169,"OK")+COUNTIF(Web!B170,"OK")+COUNTIF(Web!B171,"OK")</f>
        <v>0</v>
      </c>
      <c r="D15" s="8" t="n">
        <f aca="false">COUNTIF(Web!B165,"Finding")+COUNTIF(Web!B166,"Finding")+COUNTIF(Web!B167,"Finding")+COUNTIF(Web!B168,"Finding")+COUNTIF(Web!B169,"Finding")+COUNTIF(Web!B170,"Finding")+COUNTIF(Web!B171,"Finding")</f>
        <v>0</v>
      </c>
      <c r="E15" s="8" t="n">
        <f aca="false">COUNTIF(Web!B165,"Investigate")+COUNTIF(Web!B166,"Investigate")+COUNTIF(Web!B167,"Investigate")+COUNTIF(Web!B168,"Investigate")+COUNTIF(Web!B169,"Investigate")+COUNTIF(Web!B170,"Investigate")+COUNTIF(Web!B171,"Investigate")</f>
        <v>0</v>
      </c>
      <c r="F15" s="9"/>
    </row>
    <row r="16" customFormat="false" ht="18" hidden="false" customHeight="true" outlineLevel="0" collapsed="false">
      <c r="A16" s="7" t="s">
        <v>19</v>
      </c>
      <c r="B16" s="8" t="n">
        <v>9</v>
      </c>
      <c r="C16" s="8" t="n">
        <f aca="false">COUNTIF(Web!B174,"OK")+COUNTIF(Web!B175,"OK")+COUNTIF(Web!B176,"OK")+COUNTIF(Web!B177,"OK")+COUNTIF(Web!B178,"OK")+COUNTIF(Web!B179,"OK")+COUNTIF(Web!B180,"OK")+COUNTIF(Web!B181,"OK")+COUNTIF(Web!B182,"OK")</f>
        <v>0</v>
      </c>
      <c r="D16" s="8" t="n">
        <f aca="false">COUNTIF(Web!B174,"Finding")+COUNTIF(Web!B175,"Finding")+COUNTIF(Web!B176,"Finding")+COUNTIF(Web!B177,"Finding")+COUNTIF(Web!B178,"Finding")+COUNTIF(Web!B179,"Finding")+COUNTIF(Web!B180,"Finding")+COUNTIF(Web!B181,"Finding")+COUNTIF(Web!B182,"Finding")</f>
        <v>0</v>
      </c>
      <c r="E16" s="8" t="n">
        <f aca="false">COUNTIF(Web!B174,"Investigate")+COUNTIF(Web!B175,"Investigate")+COUNTIF(Web!B176,"Investigate")+COUNTIF(Web!B177,"Investigate")+COUNTIF(Web!B178,"Investigate")+COUNTIF(Web!B179,"Investigate")+COUNTIF(Web!B180,"Investigate")+COUNTIF(Web!B181,"Investigate")+COUNTIF(Web!B182,"Investigate")</f>
        <v>0</v>
      </c>
      <c r="F16" s="9"/>
    </row>
    <row r="17" customFormat="false" ht="18" hidden="false" customHeight="true" outlineLevel="0" collapsed="false">
      <c r="A17" s="7" t="s">
        <v>20</v>
      </c>
      <c r="B17" s="8" t="n">
        <v>10</v>
      </c>
      <c r="C17" s="8" t="n">
        <f aca="false">COUNTIF(Web!B185,"OK")+COUNTIF(Web!B186,"OK")+COUNTIF(Web!B187,"OK")+COUNTIF(Web!B188,"OK")+COUNTIF(Web!B189,"OK")+COUNTIF(Web!B190,"OK")+COUNTIF(Web!B191,"OK")+COUNTIF(Web!B192,"OK")+COUNTIF(Web!B193,"OK")+COUNTIF(Web!B194,"OK")</f>
        <v>0</v>
      </c>
      <c r="D17" s="8" t="n">
        <f aca="false">COUNTIF(Web!B185,"Finding")+COUNTIF(Web!B186,"Finding")+COUNTIF(Web!B187,"Finding")+COUNTIF(Web!B188,"Finding")+COUNTIF(Web!B189,"Finding")+COUNTIF(Web!B190,"Finding")+COUNTIF(Web!B191,"Finding")+COUNTIF(Web!B192,"Finding")+COUNTIF(Web!B193,"Finding")+COUNTIF(Web!B194,"Finding")</f>
        <v>0</v>
      </c>
      <c r="E17" s="8" t="n">
        <f aca="false">COUNTIF(Web!B185,"Investigate")+COUNTIF(Web!B186,"Investigate")+COUNTIF(Web!B187,"Investigate")+COUNTIF(Web!B188,"Investigate")+COUNTIF(Web!B189,"Investigate")+COUNTIF(Web!B190,"Investigate")+COUNTIF(Web!B191,"Investigate")+COUNTIF(Web!B192,"Investigate")+COUNTIF(Web!B193,"Investigate")+COUNTIF(Web!B194,"Investigate")</f>
        <v>0</v>
      </c>
      <c r="F17" s="9"/>
    </row>
    <row r="18" customFormat="false" ht="18" hidden="false" customHeight="true" outlineLevel="0" collapsed="false">
      <c r="A18" s="7" t="s">
        <v>21</v>
      </c>
      <c r="B18" s="8" t="n">
        <v>5</v>
      </c>
      <c r="C18" s="8" t="n">
        <f aca="false">COUNTIF(Web!B197,"OK")+COUNTIF(Web!B198,"OK")+COUNTIF(Web!B199,"OK")+COUNTIF(Web!B200,"OK")+COUNTIF(Web!B201,"OK")</f>
        <v>0</v>
      </c>
      <c r="D18" s="8" t="n">
        <f aca="false">COUNTIF(Web!B197,"Finding")+COUNTIF(Web!B198,"Finding")+COUNTIF(Web!B199,"Finding")+COUNTIF(Web!B200,"Finding")+COUNTIF(Web!B201,"Finding")</f>
        <v>0</v>
      </c>
      <c r="E18" s="8" t="n">
        <f aca="false">COUNTIF(Web!B197,"Investigate")+COUNTIF(Web!B198,"Investigate")+COUNTIF(Web!B199,"Investigate")+COUNTIF(Web!B200,"Investigate")+COUNTIF(Web!B201,"Investigate")</f>
        <v>0</v>
      </c>
      <c r="F18" s="9"/>
    </row>
    <row r="19" customFormat="false" ht="18" hidden="false" customHeight="true" outlineLevel="0" collapsed="false">
      <c r="A19" s="7" t="s">
        <v>22</v>
      </c>
      <c r="B19" s="8" t="n">
        <v>6</v>
      </c>
      <c r="C19" s="8" t="n">
        <f aca="false">COUNTIF(Web!B204,"OK")+COUNTIF(Web!B205,"OK")+COUNTIF(Web!B206,"OK")+COUNTIF(Web!B207,"OK")+COUNTIF(Web!B208,"OK")+COUNTIF(Web!B209,"OK")</f>
        <v>0</v>
      </c>
      <c r="D19" s="8" t="n">
        <f aca="false">COUNTIF(Web!B204,"Finding")+COUNTIF(Web!B205,"Finding")+COUNTIF(Web!B206,"Finding")+COUNTIF(Web!B207,"Finding")+COUNTIF(Web!B208,"Finding")+COUNTIF(Web!B209,"Finding")</f>
        <v>0</v>
      </c>
      <c r="E19" s="8" t="n">
        <f aca="false">COUNTIF(Web!B204,"Investigate")+COUNTIF(Web!B205,"Investigate")+COUNTIF(Web!B206,"Investigate")+COUNTIF(Web!B207,"Investigate")+COUNTIF(Web!B208,"Investigate")+COUNTIF(Web!B209,"Investigate")</f>
        <v>0</v>
      </c>
      <c r="F19" s="9"/>
    </row>
    <row r="20" customFormat="false" ht="6" hidden="false" customHeight="true" outlineLevel="0" collapsed="false">
      <c r="A20" s="10"/>
      <c r="B20" s="10"/>
      <c r="C20" s="10"/>
      <c r="D20" s="10"/>
      <c r="E20" s="10"/>
      <c r="F20" s="10"/>
    </row>
    <row r="21" customFormat="false" ht="21.75" hidden="false" customHeight="true" outlineLevel="0" collapsed="false">
      <c r="A21" s="6" t="s">
        <v>23</v>
      </c>
      <c r="B21" s="4" t="n">
        <v>171</v>
      </c>
      <c r="C21" s="4" t="n">
        <f aca="false">COUNTIF(Infrastructure!B3,"OK")+COUNTIF(Infrastructure!B4,"OK")+COUNTIF(Infrastructure!B5,"OK")+COUNTIF(Infrastructure!B6,"OK")+COUNTIF(Infrastructure!B7,"OK")+COUNTIF(Infrastructure!B8,"OK")+COUNTIF(Infrastructure!B9,"OK")+COUNTIF(Infrastructure!B12,"OK")+COUNTIF(Infrastructure!B13,"OK")+COUNTIF(Infrastructure!B14,"OK")+COUNTIF(Infrastructure!B15,"OK")+COUNTIF(Infrastructure!B16,"OK")+COUNTIF(Infrastructure!B17,"OK")+COUNTIF(Infrastructure!B18,"OK")+COUNTIF(Infrastructure!B19,"OK")+COUNTIF(Infrastructure!B20,"OK")+COUNTIF(Infrastructure!B21,"OK")+COUNTIF(Infrastructure!B22,"OK")+COUNTIF(Infrastructure!B23,"OK")+COUNTIF(Infrastructure!B26,"OK")+COUNTIF(Infrastructure!B27,"OK")+COUNTIF(Infrastructure!B28,"OK")+COUNTIF(Infrastructure!B29,"OK")+COUNTIF(Infrastructure!B30,"OK")+COUNTIF(Infrastructure!B31,"OK")+COUNTIF(Infrastructure!B32,"OK")+COUNTIF(Infrastructure!B33,"OK")+COUNTIF(Infrastructure!B34,"OK")+COUNTIF(Infrastructure!B37,"OK")+COUNTIF(Infrastructure!B38,"OK")+COUNTIF(Infrastructure!B39,"OK")+COUNTIF(Infrastructure!B40,"OK")+COUNTIF(Infrastructure!B41,"OK")+COUNTIF(Infrastructure!B42,"OK")+COUNTIF(Infrastructure!B43,"OK")+COUNTIF(Infrastructure!B44,"OK")+COUNTIF(Infrastructure!B45,"OK")+COUNTIF(Infrastructure!B46,"OK")+COUNTIF(Infrastructure!B47,"OK")+COUNTIF(Infrastructure!B48,"OK")+COUNTIF(Infrastructure!B49,"OK")+COUNTIF(Infrastructure!B50,"OK")+COUNTIF(Infrastructure!B51,"OK")+COUNTIF(Infrastructure!B52,"OK")+COUNTIF(Infrastructure!B53,"OK")+COUNTIF(Infrastructure!B54,"OK")+COUNTIF(Infrastructure!B55,"OK")+COUNTIF(Infrastructure!B56,"OK")+COUNTIF(Infrastructure!B57,"OK")+COUNTIF(Infrastructure!B58,"OK")+COUNTIF(Infrastructure!B59,"OK")+COUNTIF(Infrastructure!B60,"OK")+COUNTIF(Infrastructure!B61,"OK")+COUNTIF(Infrastructure!B62,"OK")+COUNTIF(Infrastructure!B63,"OK")+COUNTIF(Infrastructure!B64,"OK")+COUNTIF(Infrastructure!B65,"OK")+COUNTIF(Infrastructure!B66,"OK")+COUNTIF(Infrastructure!B67,"OK")+COUNTIF(Infrastructure!B68,"OK")+COUNTIF(Infrastructure!B69,"OK")+COUNTIF(Infrastructure!B70,"OK")+COUNTIF(Infrastructure!B71,"OK")+COUNTIF(Infrastructure!B72,"OK")+COUNTIF(Infrastructure!B73,"OK")+COUNTIF(Infrastructure!B74,"OK")+COUNTIF(Infrastructure!B75,"OK")+COUNTIF(Infrastructure!B76,"OK")+COUNTIF(Infrastructure!B77,"OK")+COUNTIF(Infrastructure!B78,"OK")+COUNTIF(Infrastructure!B79,"OK")+COUNTIF(Infrastructure!B80,"OK")+COUNTIF(Infrastructure!B81,"OK")+COUNTIF(Infrastructure!B82,"OK")+COUNTIF(Infrastructure!B83,"OK")+COUNTIF(Infrastructure!B84,"OK")+COUNTIF(Infrastructure!B85,"OK")+COUNTIF(Infrastructure!B86,"OK")+COUNTIF(Infrastructure!B87,"OK")+COUNTIF(Infrastructure!B88,"OK")+COUNTIF(Infrastructure!B89,"OK")+COUNTIF(Infrastructure!B90,"OK")+COUNTIF(Infrastructure!B91,"OK")+COUNTIF(Infrastructure!B92,"OK")+COUNTIF(Infrastructure!B93,"OK")+COUNTIF(Infrastructure!B94,"OK")+COUNTIF(Infrastructure!B95,"OK")+COUNTIF(Infrastructure!B96,"OK")+COUNTIF(Infrastructure!B97,"OK")+COUNTIF(Infrastructure!B98,"OK")+COUNTIF(Infrastructure!B99,"OK")+COUNTIF(Infrastructure!B102,"OK")+COUNTIF(Infrastructure!B103,"OK")+COUNTIF(Infrastructure!B104,"OK")+COUNTIF(Infrastructure!B105,"OK")+COUNTIF(Infrastructure!B106,"OK")+COUNTIF(Infrastructure!B107,"OK")+COUNTIF(Infrastructure!B110,"OK")+COUNTIF(Infrastructure!B111,"OK")+COUNTIF(Infrastructure!B112,"OK")+COUNTIF(Infrastructure!B113,"OK")+COUNTIF(Infrastructure!B114,"OK")+COUNTIF(Infrastructure!B115,"OK")+COUNTIF(Infrastructure!B116,"OK")+COUNTIF(Infrastructure!B119,"OK")+COUNTIF(Infrastructure!B120,"OK")+COUNTIF(Infrastructure!B121,"OK")+COUNTIF(Infrastructure!B122,"OK")+COUNTIF(Infrastructure!B123,"OK")+COUNTIF(Infrastructure!B124,"OK")+COUNTIF(Infrastructure!B125,"OK")+COUNTIF(Infrastructure!B128,"OK")+COUNTIF(Infrastructure!B129,"OK")+COUNTIF(Infrastructure!B130,"OK")+COUNTIF(Infrastructure!B131,"OK")+COUNTIF(Infrastructure!B132,"OK")+COUNTIF(Infrastructure!B133,"OK")+COUNTIF(Infrastructure!B134,"OK")+COUNTIF(Infrastructure!B135,"OK")+COUNTIF(Infrastructure!B136,"OK")+COUNTIF(Infrastructure!B137,"OK")+COUNTIF(Infrastructure!B138,"OK")+COUNTIF(Infrastructure!B139,"OK")+COUNTIF(Infrastructure!B140,"OK")+COUNTIF(Infrastructure!B141,"OK")+COUNTIF(Infrastructure!B142,"OK")+COUNTIF(Infrastructure!B143,"OK")+COUNTIF(Infrastructure!B144,"OK")+COUNTIF(Infrastructure!B145,"OK")+COUNTIF(Infrastructure!B148,"OK")+COUNTIF(Infrastructure!B149,"OK")+COUNTIF(Infrastructure!B150,"OK")+COUNTIF(Infrastructure!B151,"OK")+COUNTIF(Infrastructure!B152,"OK")+COUNTIF(Infrastructure!B153,"OK")+COUNTIF(Infrastructure!B154,"OK")+COUNTIF(Infrastructure!B155,"OK")+COUNTIF(Infrastructure!B156,"OK")+COUNTIF(Infrastructure!B157,"OK")+COUNTIF(Infrastructure!B158,"OK")+COUNTIF(Infrastructure!B159,"OK")+COUNTIF(Infrastructure!B160,"OK")+COUNTIF(Infrastructure!B161,"OK")+COUNTIF(Infrastructure!B162,"OK")+COUNTIF(Infrastructure!B163,"OK")+COUNTIF(Infrastructure!B164,"OK")+COUNTIF(Infrastructure!B165,"OK")+COUNTIF(Infrastructure!B166,"OK")+COUNTIF(Infrastructure!B169,"OK")+COUNTIF(Infrastructure!B170,"OK")+COUNTIF(Infrastructure!B171,"OK")+COUNTIF(Infrastructure!B172,"OK")+COUNTIF(Infrastructure!B173,"OK")+COUNTIF(Infrastructure!B174,"OK")+COUNTIF(Infrastructure!B175,"OK")+COUNTIF(Infrastructure!B176,"OK")+COUNTIF(Infrastructure!B177,"OK")+COUNTIF(Infrastructure!B180,"OK")+COUNTIF(Infrastructure!B181,"OK")+COUNTIF(Infrastructure!B182,"OK")+COUNTIF(Infrastructure!B183,"OK")+COUNTIF(Infrastructure!B184,"OK")+COUNTIF(Infrastructure!B185,"OK")+COUNTIF(Infrastructure!B188,"OK")+COUNTIF(Infrastructure!B189,"OK")+COUNTIF(Infrastructure!B190,"OK")+COUNTIF(Infrastructure!B191,"OK")+COUNTIF(Infrastructure!B192,"OK")+COUNTIF(Infrastructure!B193,"OK")+COUNTIF(Infrastructure!B194,"OK")+COUNTIF(Infrastructure!B195,"OK")</f>
        <v>0</v>
      </c>
      <c r="D21" s="4" t="n">
        <f aca="false">COUNTIF(Infrastructure!B3,"Finding")+COUNTIF(Infrastructure!B4,"Finding")+COUNTIF(Infrastructure!B5,"Finding")+COUNTIF(Infrastructure!B6,"Finding")+COUNTIF(Infrastructure!B7,"Finding")+COUNTIF(Infrastructure!B8,"Finding")+COUNTIF(Infrastructure!B9,"Finding")+COUNTIF(Infrastructure!B12,"Finding")+COUNTIF(Infrastructure!B13,"Finding")+COUNTIF(Infrastructure!B14,"Finding")+COUNTIF(Infrastructure!B15,"Finding")+COUNTIF(Infrastructure!B16,"Finding")+COUNTIF(Infrastructure!B17,"Finding")+COUNTIF(Infrastructure!B18,"Finding")+COUNTIF(Infrastructure!B19,"Finding")+COUNTIF(Infrastructure!B20,"Finding")+COUNTIF(Infrastructure!B21,"Finding")+COUNTIF(Infrastructure!B22,"Finding")+COUNTIF(Infrastructure!B23,"Finding")+COUNTIF(Infrastructure!B26,"Finding")+COUNTIF(Infrastructure!B27,"Finding")+COUNTIF(Infrastructure!B28,"Finding")+COUNTIF(Infrastructure!B29,"Finding")+COUNTIF(Infrastructure!B30,"Finding")+COUNTIF(Infrastructure!B31,"Finding")+COUNTIF(Infrastructure!B32,"Finding")+COUNTIF(Infrastructure!B33,"Finding")+COUNTIF(Infrastructure!B34,"Finding")+COUNTIF(Infrastructure!B37,"Finding")+COUNTIF(Infrastructure!B38,"Finding")+COUNTIF(Infrastructure!B39,"Finding")+COUNTIF(Infrastructure!B40,"Finding")+COUNTIF(Infrastructure!B41,"Finding")+COUNTIF(Infrastructure!B42,"Finding")+COUNTIF(Infrastructure!B43,"Finding")+COUNTIF(Infrastructure!B44,"Finding")+COUNTIF(Infrastructure!B45,"Finding")+COUNTIF(Infrastructure!B46,"Finding")+COUNTIF(Infrastructure!B47,"Finding")+COUNTIF(Infrastructure!B48,"Finding")+COUNTIF(Infrastructure!B49,"Finding")+COUNTIF(Infrastructure!B50,"Finding")+COUNTIF(Infrastructure!B51,"Finding")+COUNTIF(Infrastructure!B52,"Finding")+COUNTIF(Infrastructure!B53,"Finding")+COUNTIF(Infrastructure!B54,"Finding")+COUNTIF(Infrastructure!B55,"Finding")+COUNTIF(Infrastructure!B56,"Finding")+COUNTIF(Infrastructure!B57,"Finding")+COUNTIF(Infrastructure!B58,"Finding")+COUNTIF(Infrastructure!B59,"Finding")+COUNTIF(Infrastructure!B60,"Finding")+COUNTIF(Infrastructure!B61,"Finding")+COUNTIF(Infrastructure!B62,"Finding")+COUNTIF(Infrastructure!B63,"Finding")+COUNTIF(Infrastructure!B64,"Finding")+COUNTIF(Infrastructure!B65,"Finding")+COUNTIF(Infrastructure!B66,"Finding")+COUNTIF(Infrastructure!B67,"Finding")+COUNTIF(Infrastructure!B68,"Finding")+COUNTIF(Infrastructure!B69,"Finding")+COUNTIF(Infrastructure!B70,"Finding")+COUNTIF(Infrastructure!B71,"Finding")+COUNTIF(Infrastructure!B72,"Finding")+COUNTIF(Infrastructure!B73,"Finding")+COUNTIF(Infrastructure!B74,"Finding")+COUNTIF(Infrastructure!B75,"Finding")+COUNTIF(Infrastructure!B76,"Finding")+COUNTIF(Infrastructure!B77,"Finding")+COUNTIF(Infrastructure!B78,"Finding")+COUNTIF(Infrastructure!B79,"Finding")+COUNTIF(Infrastructure!B80,"Finding")+COUNTIF(Infrastructure!B81,"Finding")+COUNTIF(Infrastructure!B82,"Finding")+COUNTIF(Infrastructure!B83,"Finding")+COUNTIF(Infrastructure!B84,"Finding")+COUNTIF(Infrastructure!B85,"Finding")+COUNTIF(Infrastructure!B86,"Finding")+COUNTIF(Infrastructure!B87,"Finding")+COUNTIF(Infrastructure!B88,"Finding")+COUNTIF(Infrastructure!B89,"Finding")+COUNTIF(Infrastructure!B90,"Finding")+COUNTIF(Infrastructure!B91,"Finding")+COUNTIF(Infrastructure!B92,"Finding")+COUNTIF(Infrastructure!B93,"Finding")+COUNTIF(Infrastructure!B94,"Finding")+COUNTIF(Infrastructure!B95,"Finding")+COUNTIF(Infrastructure!B96,"Finding")+COUNTIF(Infrastructure!B97,"Finding")+COUNTIF(Infrastructure!B98,"Finding")+COUNTIF(Infrastructure!B99,"Finding")+COUNTIF(Infrastructure!B102,"Finding")+COUNTIF(Infrastructure!B103,"Finding")+COUNTIF(Infrastructure!B104,"Finding")+COUNTIF(Infrastructure!B105,"Finding")+COUNTIF(Infrastructure!B106,"Finding")+COUNTIF(Infrastructure!B107,"Finding")+COUNTIF(Infrastructure!B110,"Finding")+COUNTIF(Infrastructure!B111,"Finding")+COUNTIF(Infrastructure!B112,"Finding")+COUNTIF(Infrastructure!B113,"Finding")+COUNTIF(Infrastructure!B114,"Finding")+COUNTIF(Infrastructure!B115,"Finding")+COUNTIF(Infrastructure!B116,"Finding")+COUNTIF(Infrastructure!B119,"Finding")+COUNTIF(Infrastructure!B120,"Finding")+COUNTIF(Infrastructure!B121,"Finding")+COUNTIF(Infrastructure!B122,"Finding")+COUNTIF(Infrastructure!B123,"Finding")+COUNTIF(Infrastructure!B124,"Finding")+COUNTIF(Infrastructure!B125,"Finding")+COUNTIF(Infrastructure!B128,"Finding")+COUNTIF(Infrastructure!B129,"Finding")+COUNTIF(Infrastructure!B130,"Finding")+COUNTIF(Infrastructure!B131,"Finding")+COUNTIF(Infrastructure!B132,"Finding")+COUNTIF(Infrastructure!B133,"Finding")+COUNTIF(Infrastructure!B134,"Finding")+COUNTIF(Infrastructure!B135,"Finding")+COUNTIF(Infrastructure!B136,"Finding")+COUNTIF(Infrastructure!B137,"Finding")+COUNTIF(Infrastructure!B138,"Finding")+COUNTIF(Infrastructure!B139,"Finding")+COUNTIF(Infrastructure!B140,"Finding")+COUNTIF(Infrastructure!B141,"Finding")+COUNTIF(Infrastructure!B142,"Finding")+COUNTIF(Infrastructure!B143,"Finding")+COUNTIF(Infrastructure!B144,"Finding")+COUNTIF(Infrastructure!B145,"Finding")+COUNTIF(Infrastructure!B148,"Finding")+COUNTIF(Infrastructure!B149,"Finding")+COUNTIF(Infrastructure!B150,"Finding")+COUNTIF(Infrastructure!B151,"Finding")+COUNTIF(Infrastructure!B152,"Finding")+COUNTIF(Infrastructure!B153,"Finding")+COUNTIF(Infrastructure!B154,"Finding")+COUNTIF(Infrastructure!B155,"Finding")+COUNTIF(Infrastructure!B156,"Finding")+COUNTIF(Infrastructure!B157,"Finding")+COUNTIF(Infrastructure!B158,"Finding")+COUNTIF(Infrastructure!B159,"Finding")+COUNTIF(Infrastructure!B160,"Finding")+COUNTIF(Infrastructure!B161,"Finding")+COUNTIF(Infrastructure!B162,"Finding")+COUNTIF(Infrastructure!B163,"Finding")+COUNTIF(Infrastructure!B164,"Finding")+COUNTIF(Infrastructure!B165,"Finding")+COUNTIF(Infrastructure!B166,"Finding")+COUNTIF(Infrastructure!B169,"Finding")+COUNTIF(Infrastructure!B170,"Finding")+COUNTIF(Infrastructure!B171,"Finding")+COUNTIF(Infrastructure!B172,"Finding")+COUNTIF(Infrastructure!B173,"Finding")+COUNTIF(Infrastructure!B174,"Finding")+COUNTIF(Infrastructure!B175,"Finding")+COUNTIF(Infrastructure!B176,"Finding")+COUNTIF(Infrastructure!B177,"Finding")+COUNTIF(Infrastructure!B180,"Finding")+COUNTIF(Infrastructure!B181,"Finding")+COUNTIF(Infrastructure!B182,"Finding")+COUNTIF(Infrastructure!B183,"Finding")+COUNTIF(Infrastructure!B184,"Finding")+COUNTIF(Infrastructure!B185,"Finding")+COUNTIF(Infrastructure!B188,"Finding")+COUNTIF(Infrastructure!B189,"Finding")+COUNTIF(Infrastructure!B190,"Finding")+COUNTIF(Infrastructure!B191,"Finding")+COUNTIF(Infrastructure!B192,"Finding")+COUNTIF(Infrastructure!B193,"Finding")+COUNTIF(Infrastructure!B194,"Finding")+COUNTIF(Infrastructure!B195,"Finding")</f>
        <v>0</v>
      </c>
      <c r="E21" s="4" t="n">
        <f aca="false">COUNTIF(Infrastructure!B3,"Investigate")+COUNTIF(Infrastructure!B4,"Investigate")+COUNTIF(Infrastructure!B5,"Investigate")+COUNTIF(Infrastructure!B6,"Investigate")+COUNTIF(Infrastructure!B7,"Investigate")+COUNTIF(Infrastructure!B8,"Investigate")+COUNTIF(Infrastructure!B9,"Investigate")+COUNTIF(Infrastructure!B12,"Investigate")+COUNTIF(Infrastructure!B13,"Investigate")+COUNTIF(Infrastructure!B14,"Investigate")+COUNTIF(Infrastructure!B15,"Investigate")+COUNTIF(Infrastructure!B16,"Investigate")+COUNTIF(Infrastructure!B17,"Investigate")+COUNTIF(Infrastructure!B18,"Investigate")+COUNTIF(Infrastructure!B19,"Investigate")+COUNTIF(Infrastructure!B20,"Investigate")+COUNTIF(Infrastructure!B21,"Investigate")+COUNTIF(Infrastructure!B22,"Investigate")+COUNTIF(Infrastructure!B23,"Investigate")+COUNTIF(Infrastructure!B26,"Investigate")+COUNTIF(Infrastructure!B27,"Investigate")+COUNTIF(Infrastructure!B28,"Investigate")+COUNTIF(Infrastructure!B29,"Investigate")+COUNTIF(Infrastructure!B30,"Investigate")+COUNTIF(Infrastructure!B31,"Investigate")+COUNTIF(Infrastructure!B32,"Investigate")+COUNTIF(Infrastructure!B33,"Investigate")+COUNTIF(Infrastructure!B34,"Investigate")+COUNTIF(Infrastructure!B37,"Investigate")+COUNTIF(Infrastructure!B38,"Investigate")+COUNTIF(Infrastructure!B39,"Investigate")+COUNTIF(Infrastructure!B40,"Investigate")+COUNTIF(Infrastructure!B41,"Investigate")+COUNTIF(Infrastructure!B42,"Investigate")+COUNTIF(Infrastructure!B43,"Investigate")+COUNTIF(Infrastructure!B44,"Investigate")+COUNTIF(Infrastructure!B45,"Investigate")+COUNTIF(Infrastructure!B46,"Investigate")+COUNTIF(Infrastructure!B47,"Investigate")+COUNTIF(Infrastructure!B48,"Investigate")+COUNTIF(Infrastructure!B49,"Investigate")+COUNTIF(Infrastructure!B50,"Investigate")+COUNTIF(Infrastructure!B51,"Investigate")+COUNTIF(Infrastructure!B52,"Investigate")+COUNTIF(Infrastructure!B53,"Investigate")+COUNTIF(Infrastructure!B54,"Investigate")+COUNTIF(Infrastructure!B55,"Investigate")+COUNTIF(Infrastructure!B56,"Investigate")+COUNTIF(Infrastructure!B57,"Investigate")+COUNTIF(Infrastructure!B58,"Investigate")+COUNTIF(Infrastructure!B59,"Investigate")+COUNTIF(Infrastructure!B60,"Investigate")+COUNTIF(Infrastructure!B61,"Investigate")+COUNTIF(Infrastructure!B62,"Investigate")+COUNTIF(Infrastructure!B63,"Investigate")+COUNTIF(Infrastructure!B64,"Investigate")+COUNTIF(Infrastructure!B65,"Investigate")+COUNTIF(Infrastructure!B66,"Investigate")+COUNTIF(Infrastructure!B67,"Investigate")+COUNTIF(Infrastructure!B68,"Investigate")+COUNTIF(Infrastructure!B69,"Investigate")+COUNTIF(Infrastructure!B70,"Investigate")+COUNTIF(Infrastructure!B71,"Investigate")+COUNTIF(Infrastructure!B72,"Investigate")+COUNTIF(Infrastructure!B73,"Investigate")+COUNTIF(Infrastructure!B74,"Investigate")+COUNTIF(Infrastructure!B75,"Investigate")+COUNTIF(Infrastructure!B76,"Investigate")+COUNTIF(Infrastructure!B77,"Investigate")+COUNTIF(Infrastructure!B78,"Investigate")+COUNTIF(Infrastructure!B79,"Investigate")+COUNTIF(Infrastructure!B80,"Investigate")+COUNTIF(Infrastructure!B81,"Investigate")+COUNTIF(Infrastructure!B82,"Investigate")+COUNTIF(Infrastructure!B83,"Investigate")+COUNTIF(Infrastructure!B84,"Investigate")+COUNTIF(Infrastructure!B85,"Investigate")+COUNTIF(Infrastructure!B86,"Investigate")+COUNTIF(Infrastructure!B87,"Investigate")+COUNTIF(Infrastructure!B88,"Investigate")+COUNTIF(Infrastructure!B89,"Investigate")+COUNTIF(Infrastructure!B90,"Investigate")+COUNTIF(Infrastructure!B91,"Investigate")+COUNTIF(Infrastructure!B92,"Investigate")+COUNTIF(Infrastructure!B93,"Investigate")+COUNTIF(Infrastructure!B94,"Investigate")+COUNTIF(Infrastructure!B95,"Investigate")+COUNTIF(Infrastructure!B96,"Investigate")+COUNTIF(Infrastructure!B97,"Investigate")+COUNTIF(Infrastructure!B98,"Investigate")+COUNTIF(Infrastructure!B99,"Investigate")+COUNTIF(Infrastructure!B102,"Investigate")+COUNTIF(Infrastructure!B103,"Investigate")+COUNTIF(Infrastructure!B104,"Investigate")+COUNTIF(Infrastructure!B105,"Investigate")+COUNTIF(Infrastructure!B106,"Investigate")+COUNTIF(Infrastructure!B107,"Investigate")+COUNTIF(Infrastructure!B110,"Investigate")+COUNTIF(Infrastructure!B111,"Investigate")+COUNTIF(Infrastructure!B112,"Investigate")+COUNTIF(Infrastructure!B113,"Investigate")+COUNTIF(Infrastructure!B114,"Investigate")+COUNTIF(Infrastructure!B115,"Investigate")+COUNTIF(Infrastructure!B116,"Investigate")+COUNTIF(Infrastructure!B119,"Investigate")+COUNTIF(Infrastructure!B120,"Investigate")+COUNTIF(Infrastructure!B121,"Investigate")+COUNTIF(Infrastructure!B122,"Investigate")+COUNTIF(Infrastructure!B123,"Investigate")+COUNTIF(Infrastructure!B124,"Investigate")+COUNTIF(Infrastructure!B125,"Investigate")+COUNTIF(Infrastructure!B128,"Investigate")+COUNTIF(Infrastructure!B129,"Investigate")+COUNTIF(Infrastructure!B130,"Investigate")+COUNTIF(Infrastructure!B131,"Investigate")+COUNTIF(Infrastructure!B132,"Investigate")+COUNTIF(Infrastructure!B133,"Investigate")+COUNTIF(Infrastructure!B134,"Investigate")+COUNTIF(Infrastructure!B135,"Investigate")+COUNTIF(Infrastructure!B136,"Investigate")+COUNTIF(Infrastructure!B137,"Investigate")+COUNTIF(Infrastructure!B138,"Investigate")+COUNTIF(Infrastructure!B139,"Investigate")+COUNTIF(Infrastructure!B140,"Investigate")+COUNTIF(Infrastructure!B141,"Investigate")+COUNTIF(Infrastructure!B142,"Investigate")+COUNTIF(Infrastructure!B143,"Investigate")+COUNTIF(Infrastructure!B144,"Investigate")+COUNTIF(Infrastructure!B145,"Investigate")+COUNTIF(Infrastructure!B148,"Investigate")+COUNTIF(Infrastructure!B149,"Investigate")+COUNTIF(Infrastructure!B150,"Investigate")+COUNTIF(Infrastructure!B151,"Investigate")+COUNTIF(Infrastructure!B152,"Investigate")+COUNTIF(Infrastructure!B153,"Investigate")+COUNTIF(Infrastructure!B154,"Investigate")+COUNTIF(Infrastructure!B155,"Investigate")+COUNTIF(Infrastructure!B156,"Investigate")+COUNTIF(Infrastructure!B157,"Investigate")+COUNTIF(Infrastructure!B158,"Investigate")+COUNTIF(Infrastructure!B159,"Investigate")+COUNTIF(Infrastructure!B160,"Investigate")+COUNTIF(Infrastructure!B161,"Investigate")+COUNTIF(Infrastructure!B162,"Investigate")+COUNTIF(Infrastructure!B163,"Investigate")+COUNTIF(Infrastructure!B164,"Investigate")+COUNTIF(Infrastructure!B165,"Investigate")+COUNTIF(Infrastructure!B166,"Investigate")+COUNTIF(Infrastructure!B169,"Investigate")+COUNTIF(Infrastructure!B170,"Investigate")+COUNTIF(Infrastructure!B171,"Investigate")+COUNTIF(Infrastructure!B172,"Investigate")+COUNTIF(Infrastructure!B173,"Investigate")+COUNTIF(Infrastructure!B174,"Investigate")+COUNTIF(Infrastructure!B175,"Investigate")+COUNTIF(Infrastructure!B176,"Investigate")+COUNTIF(Infrastructure!B177,"Investigate")+COUNTIF(Infrastructure!B180,"Investigate")+COUNTIF(Infrastructure!B181,"Investigate")+COUNTIF(Infrastructure!B182,"Investigate")+COUNTIF(Infrastructure!B183,"Investigate")+COUNTIF(Infrastructure!B184,"Investigate")+COUNTIF(Infrastructure!B185,"Investigate")+COUNTIF(Infrastructure!B188,"Investigate")+COUNTIF(Infrastructure!B189,"Investigate")+COUNTIF(Infrastructure!B190,"Investigate")+COUNTIF(Infrastructure!B191,"Investigate")+COUNTIF(Infrastructure!B192,"Investigate")+COUNTIF(Infrastructure!B193,"Investigate")+COUNTIF(Infrastructure!B194,"Investigate")+COUNTIF(Infrastructure!B195,"Investigate")</f>
        <v>0</v>
      </c>
      <c r="F21" s="5"/>
    </row>
    <row r="22" customFormat="false" ht="18" hidden="false" customHeight="true" outlineLevel="0" collapsed="false">
      <c r="A22" s="7" t="s">
        <v>24</v>
      </c>
      <c r="B22" s="8" t="n">
        <v>7</v>
      </c>
      <c r="C22" s="8" t="n">
        <f aca="false">COUNTIF(Infrastructure!B3,"OK")+COUNTIF(Infrastructure!B4,"OK")+COUNTIF(Infrastructure!B5,"OK")+COUNTIF(Infrastructure!B6,"OK")+COUNTIF(Infrastructure!B7,"OK")+COUNTIF(Infrastructure!B8,"OK")+COUNTIF(Infrastructure!B9,"OK")</f>
        <v>0</v>
      </c>
      <c r="D22" s="8" t="n">
        <f aca="false">COUNTIF(Infrastructure!B3,"Finding")+COUNTIF(Infrastructure!B4,"Finding")+COUNTIF(Infrastructure!B5,"Finding")+COUNTIF(Infrastructure!B6,"Finding")+COUNTIF(Infrastructure!B7,"Finding")+COUNTIF(Infrastructure!B8,"Finding")+COUNTIF(Infrastructure!B9,"Finding")</f>
        <v>0</v>
      </c>
      <c r="E22" s="8" t="n">
        <f aca="false">COUNTIF(Infrastructure!B3,"Investigate")+COUNTIF(Infrastructure!B4,"Investigate")+COUNTIF(Infrastructure!B5,"Investigate")+COUNTIF(Infrastructure!B6,"Investigate")+COUNTIF(Infrastructure!B7,"Investigate")+COUNTIF(Infrastructure!B8,"Investigate")+COUNTIF(Infrastructure!B9,"Investigate")</f>
        <v>0</v>
      </c>
      <c r="F22" s="9"/>
    </row>
    <row r="23" customFormat="false" ht="18" hidden="false" customHeight="true" outlineLevel="0" collapsed="false">
      <c r="A23" s="7" t="s">
        <v>25</v>
      </c>
      <c r="B23" s="8" t="n">
        <v>12</v>
      </c>
      <c r="C23" s="8" t="n">
        <f aca="false">COUNTIF(Infrastructure!B12,"OK")+COUNTIF(Infrastructure!B13,"OK")+COUNTIF(Infrastructure!B14,"OK")+COUNTIF(Infrastructure!B15,"OK")+COUNTIF(Infrastructure!B16,"OK")+COUNTIF(Infrastructure!B17,"OK")+COUNTIF(Infrastructure!B18,"OK")+COUNTIF(Infrastructure!B19,"OK")+COUNTIF(Infrastructure!B20,"OK")+COUNTIF(Infrastructure!B21,"OK")+COUNTIF(Infrastructure!B22,"OK")+COUNTIF(Infrastructure!B23,"OK")</f>
        <v>0</v>
      </c>
      <c r="D23" s="8" t="n">
        <f aca="false">COUNTIF(Infrastructure!B12,"Finding")+COUNTIF(Infrastructure!B13,"Finding")+COUNTIF(Infrastructure!B14,"Finding")+COUNTIF(Infrastructure!B15,"Finding")+COUNTIF(Infrastructure!B16,"Finding")+COUNTIF(Infrastructure!B17,"Finding")+COUNTIF(Infrastructure!B18,"Finding")+COUNTIF(Infrastructure!B19,"Finding")+COUNTIF(Infrastructure!B20,"Finding")+COUNTIF(Infrastructure!B21,"Finding")+COUNTIF(Infrastructure!B22,"Finding")+COUNTIF(Infrastructure!B23,"Finding")</f>
        <v>0</v>
      </c>
      <c r="E23" s="8" t="n">
        <f aca="false">COUNTIF(Infrastructure!B12,"Investigate")+COUNTIF(Infrastructure!B13,"Investigate")+COUNTIF(Infrastructure!B14,"Investigate")+COUNTIF(Infrastructure!B15,"Investigate")+COUNTIF(Infrastructure!B16,"Investigate")+COUNTIF(Infrastructure!B17,"Investigate")+COUNTIF(Infrastructure!B18,"Investigate")+COUNTIF(Infrastructure!B19,"Investigate")+COUNTIF(Infrastructure!B20,"Investigate")+COUNTIF(Infrastructure!B21,"Investigate")+COUNTIF(Infrastructure!B22,"Investigate")+COUNTIF(Infrastructure!B23,"Investigate")</f>
        <v>0</v>
      </c>
      <c r="F23" s="9"/>
    </row>
    <row r="24" customFormat="false" ht="18" hidden="false" customHeight="true" outlineLevel="0" collapsed="false">
      <c r="A24" s="7" t="s">
        <v>26</v>
      </c>
      <c r="B24" s="8" t="n">
        <v>9</v>
      </c>
      <c r="C24" s="8" t="n">
        <f aca="false">COUNTIF(Infrastructure!B26,"OK")+COUNTIF(Infrastructure!B27,"OK")+COUNTIF(Infrastructure!B28,"OK")+COUNTIF(Infrastructure!B29,"OK")+COUNTIF(Infrastructure!B30,"OK")+COUNTIF(Infrastructure!B31,"OK")+COUNTIF(Infrastructure!B32,"OK")+COUNTIF(Infrastructure!B33,"OK")+COUNTIF(Infrastructure!B34,"OK")</f>
        <v>0</v>
      </c>
      <c r="D24" s="8" t="n">
        <f aca="false">COUNTIF(Infrastructure!B26,"Finding")+COUNTIF(Infrastructure!B27,"Finding")+COUNTIF(Infrastructure!B28,"Finding")+COUNTIF(Infrastructure!B29,"Finding")+COUNTIF(Infrastructure!B30,"Finding")+COUNTIF(Infrastructure!B31,"Finding")+COUNTIF(Infrastructure!B32,"Finding")+COUNTIF(Infrastructure!B33,"Finding")+COUNTIF(Infrastructure!B34,"Finding")</f>
        <v>0</v>
      </c>
      <c r="E24" s="8" t="n">
        <f aca="false">COUNTIF(Infrastructure!B26,"Investigate")+COUNTIF(Infrastructure!B27,"Investigate")+COUNTIF(Infrastructure!B28,"Investigate")+COUNTIF(Infrastructure!B29,"Investigate")+COUNTIF(Infrastructure!B30,"Investigate")+COUNTIF(Infrastructure!B31,"Investigate")+COUNTIF(Infrastructure!B32,"Investigate")+COUNTIF(Infrastructure!B33,"Investigate")+COUNTIF(Infrastructure!B34,"Investigate")</f>
        <v>0</v>
      </c>
      <c r="F24" s="9"/>
    </row>
    <row r="25" customFormat="false" ht="18" hidden="false" customHeight="true" outlineLevel="0" collapsed="false">
      <c r="A25" s="7" t="s">
        <v>27</v>
      </c>
      <c r="B25" s="8" t="n">
        <v>63</v>
      </c>
      <c r="C25" s="8" t="n">
        <f aca="false">COUNTIF(Infrastructure!B37,"OK")+COUNTIF(Infrastructure!B38,"OK")+COUNTIF(Infrastructure!B39,"OK")+COUNTIF(Infrastructure!B40,"OK")+COUNTIF(Infrastructure!B41,"OK")+COUNTIF(Infrastructure!B42,"OK")+COUNTIF(Infrastructure!B43,"OK")+COUNTIF(Infrastructure!B44,"OK")+COUNTIF(Infrastructure!B45,"OK")+COUNTIF(Infrastructure!B46,"OK")+COUNTIF(Infrastructure!B47,"OK")+COUNTIF(Infrastructure!B48,"OK")+COUNTIF(Infrastructure!B49,"OK")+COUNTIF(Infrastructure!B50,"OK")+COUNTIF(Infrastructure!B51,"OK")+COUNTIF(Infrastructure!B52,"OK")+COUNTIF(Infrastructure!B53,"OK")+COUNTIF(Infrastructure!B54,"OK")+COUNTIF(Infrastructure!B55,"OK")+COUNTIF(Infrastructure!B56,"OK")+COUNTIF(Infrastructure!B57,"OK")+COUNTIF(Infrastructure!B58,"OK")+COUNTIF(Infrastructure!B59,"OK")+COUNTIF(Infrastructure!B60,"OK")+COUNTIF(Infrastructure!B61,"OK")+COUNTIF(Infrastructure!B62,"OK")+COUNTIF(Infrastructure!B63,"OK")+COUNTIF(Infrastructure!B64,"OK")+COUNTIF(Infrastructure!B65,"OK")+COUNTIF(Infrastructure!B66,"OK")+COUNTIF(Infrastructure!B67,"OK")+COUNTIF(Infrastructure!B68,"OK")+COUNTIF(Infrastructure!B69,"OK")+COUNTIF(Infrastructure!B70,"OK")+COUNTIF(Infrastructure!B71,"OK")+COUNTIF(Infrastructure!B72,"OK")+COUNTIF(Infrastructure!B73,"OK")+COUNTIF(Infrastructure!B74,"OK")+COUNTIF(Infrastructure!B75,"OK")+COUNTIF(Infrastructure!B76,"OK")+COUNTIF(Infrastructure!B77,"OK")+COUNTIF(Infrastructure!B78,"OK")+COUNTIF(Infrastructure!B79,"OK")+COUNTIF(Infrastructure!B80,"OK")+COUNTIF(Infrastructure!B81,"OK")+COUNTIF(Infrastructure!B82,"OK")+COUNTIF(Infrastructure!B83,"OK")+COUNTIF(Infrastructure!B84,"OK")+COUNTIF(Infrastructure!B85,"OK")+COUNTIF(Infrastructure!B86,"OK")+COUNTIF(Infrastructure!B87,"OK")+COUNTIF(Infrastructure!B88,"OK")+COUNTIF(Infrastructure!B89,"OK")+COUNTIF(Infrastructure!B90,"OK")+COUNTIF(Infrastructure!B91,"OK")+COUNTIF(Infrastructure!B92,"OK")+COUNTIF(Infrastructure!B93,"OK")+COUNTIF(Infrastructure!B94,"OK")+COUNTIF(Infrastructure!B95,"OK")+COUNTIF(Infrastructure!B96,"OK")+COUNTIF(Infrastructure!B97,"OK")+COUNTIF(Infrastructure!B98,"OK")+COUNTIF(Infrastructure!B99,"OK")</f>
        <v>0</v>
      </c>
      <c r="D25" s="8" t="n">
        <f aca="false">COUNTIF(Infrastructure!B37,"Finding")+COUNTIF(Infrastructure!B38,"Finding")+COUNTIF(Infrastructure!B39,"Finding")+COUNTIF(Infrastructure!B40,"Finding")+COUNTIF(Infrastructure!B41,"Finding")+COUNTIF(Infrastructure!B42,"Finding")+COUNTIF(Infrastructure!B43,"Finding")+COUNTIF(Infrastructure!B44,"Finding")+COUNTIF(Infrastructure!B45,"Finding")+COUNTIF(Infrastructure!B46,"Finding")+COUNTIF(Infrastructure!B47,"Finding")+COUNTIF(Infrastructure!B48,"Finding")+COUNTIF(Infrastructure!B49,"Finding")+COUNTIF(Infrastructure!B50,"Finding")+COUNTIF(Infrastructure!B51,"Finding")+COUNTIF(Infrastructure!B52,"Finding")+COUNTIF(Infrastructure!B53,"Finding")+COUNTIF(Infrastructure!B54,"Finding")+COUNTIF(Infrastructure!B55,"Finding")+COUNTIF(Infrastructure!B56,"Finding")+COUNTIF(Infrastructure!B57,"Finding")+COUNTIF(Infrastructure!B58,"Finding")+COUNTIF(Infrastructure!B59,"Finding")+COUNTIF(Infrastructure!B60,"Finding")+COUNTIF(Infrastructure!B61,"Finding")+COUNTIF(Infrastructure!B62,"Finding")+COUNTIF(Infrastructure!B63,"Finding")+COUNTIF(Infrastructure!B64,"Finding")+COUNTIF(Infrastructure!B65,"Finding")+COUNTIF(Infrastructure!B66,"Finding")+COUNTIF(Infrastructure!B67,"Finding")+COUNTIF(Infrastructure!B68,"Finding")+COUNTIF(Infrastructure!B69,"Finding")+COUNTIF(Infrastructure!B70,"Finding")+COUNTIF(Infrastructure!B71,"Finding")+COUNTIF(Infrastructure!B72,"Finding")+COUNTIF(Infrastructure!B73,"Finding")+COUNTIF(Infrastructure!B74,"Finding")+COUNTIF(Infrastructure!B75,"Finding")+COUNTIF(Infrastructure!B76,"Finding")+COUNTIF(Infrastructure!B77,"Finding")+COUNTIF(Infrastructure!B78,"Finding")+COUNTIF(Infrastructure!B79,"Finding")+COUNTIF(Infrastructure!B80,"Finding")+COUNTIF(Infrastructure!B81,"Finding")+COUNTIF(Infrastructure!B82,"Finding")+COUNTIF(Infrastructure!B83,"Finding")+COUNTIF(Infrastructure!B84,"Finding")+COUNTIF(Infrastructure!B85,"Finding")+COUNTIF(Infrastructure!B86,"Finding")+COUNTIF(Infrastructure!B87,"Finding")+COUNTIF(Infrastructure!B88,"Finding")+COUNTIF(Infrastructure!B89,"Finding")+COUNTIF(Infrastructure!B90,"Finding")+COUNTIF(Infrastructure!B91,"Finding")+COUNTIF(Infrastructure!B92,"Finding")+COUNTIF(Infrastructure!B93,"Finding")+COUNTIF(Infrastructure!B94,"Finding")+COUNTIF(Infrastructure!B95,"Finding")+COUNTIF(Infrastructure!B96,"Finding")+COUNTIF(Infrastructure!B97,"Finding")+COUNTIF(Infrastructure!B98,"Finding")+COUNTIF(Infrastructure!B99,"Finding")</f>
        <v>0</v>
      </c>
      <c r="E25" s="8" t="n">
        <f aca="false">COUNTIF(Infrastructure!B37,"Investigate")+COUNTIF(Infrastructure!B38,"Investigate")+COUNTIF(Infrastructure!B39,"Investigate")+COUNTIF(Infrastructure!B40,"Investigate")+COUNTIF(Infrastructure!B41,"Investigate")+COUNTIF(Infrastructure!B42,"Investigate")+COUNTIF(Infrastructure!B43,"Investigate")+COUNTIF(Infrastructure!B44,"Investigate")+COUNTIF(Infrastructure!B45,"Investigate")+COUNTIF(Infrastructure!B46,"Investigate")+COUNTIF(Infrastructure!B47,"Investigate")+COUNTIF(Infrastructure!B48,"Investigate")+COUNTIF(Infrastructure!B49,"Investigate")+COUNTIF(Infrastructure!B50,"Investigate")+COUNTIF(Infrastructure!B51,"Investigate")+COUNTIF(Infrastructure!B52,"Investigate")+COUNTIF(Infrastructure!B53,"Investigate")+COUNTIF(Infrastructure!B54,"Investigate")+COUNTIF(Infrastructure!B55,"Investigate")+COUNTIF(Infrastructure!B56,"Investigate")+COUNTIF(Infrastructure!B57,"Investigate")+COUNTIF(Infrastructure!B58,"Investigate")+COUNTIF(Infrastructure!B59,"Investigate")+COUNTIF(Infrastructure!B60,"Investigate")+COUNTIF(Infrastructure!B61,"Investigate")+COUNTIF(Infrastructure!B62,"Investigate")+COUNTIF(Infrastructure!B63,"Investigate")+COUNTIF(Infrastructure!B64,"Investigate")+COUNTIF(Infrastructure!B65,"Investigate")+COUNTIF(Infrastructure!B66,"Investigate")+COUNTIF(Infrastructure!B67,"Investigate")+COUNTIF(Infrastructure!B68,"Investigate")+COUNTIF(Infrastructure!B69,"Investigate")+COUNTIF(Infrastructure!B70,"Investigate")+COUNTIF(Infrastructure!B71,"Investigate")+COUNTIF(Infrastructure!B72,"Investigate")+COUNTIF(Infrastructure!B73,"Investigate")+COUNTIF(Infrastructure!B74,"Investigate")+COUNTIF(Infrastructure!B75,"Investigate")+COUNTIF(Infrastructure!B76,"Investigate")+COUNTIF(Infrastructure!B77,"Investigate")+COUNTIF(Infrastructure!B78,"Investigate")+COUNTIF(Infrastructure!B79,"Investigate")+COUNTIF(Infrastructure!B80,"Investigate")+COUNTIF(Infrastructure!B81,"Investigate")+COUNTIF(Infrastructure!B82,"Investigate")+COUNTIF(Infrastructure!B83,"Investigate")+COUNTIF(Infrastructure!B84,"Investigate")+COUNTIF(Infrastructure!B85,"Investigate")+COUNTIF(Infrastructure!B86,"Investigate")+COUNTIF(Infrastructure!B87,"Investigate")+COUNTIF(Infrastructure!B88,"Investigate")+COUNTIF(Infrastructure!B89,"Investigate")+COUNTIF(Infrastructure!B90,"Investigate")+COUNTIF(Infrastructure!B91,"Investigate")+COUNTIF(Infrastructure!B92,"Investigate")+COUNTIF(Infrastructure!B93,"Investigate")+COUNTIF(Infrastructure!B94,"Investigate")+COUNTIF(Infrastructure!B95,"Investigate")+COUNTIF(Infrastructure!B96,"Investigate")+COUNTIF(Infrastructure!B97,"Investigate")+COUNTIF(Infrastructure!B98,"Investigate")+COUNTIF(Infrastructure!B99,"Investigate")</f>
        <v>0</v>
      </c>
      <c r="F25" s="9"/>
    </row>
    <row r="26" customFormat="false" ht="18" hidden="false" customHeight="true" outlineLevel="0" collapsed="false">
      <c r="A26" s="7" t="s">
        <v>28</v>
      </c>
      <c r="B26" s="8" t="n">
        <v>6</v>
      </c>
      <c r="C26" s="8" t="n">
        <f aca="false">COUNTIF(Infrastructure!B102,"OK")+COUNTIF(Infrastructure!B103,"OK")+COUNTIF(Infrastructure!B104,"OK")+COUNTIF(Infrastructure!B105,"OK")+COUNTIF(Infrastructure!B106,"OK")+COUNTIF(Infrastructure!B107,"OK")</f>
        <v>0</v>
      </c>
      <c r="D26" s="8" t="n">
        <f aca="false">COUNTIF(Infrastructure!B102,"Finding")+COUNTIF(Infrastructure!B103,"Finding")+COUNTIF(Infrastructure!B104,"Finding")+COUNTIF(Infrastructure!B105,"Finding")+COUNTIF(Infrastructure!B106,"Finding")+COUNTIF(Infrastructure!B107,"Finding")</f>
        <v>0</v>
      </c>
      <c r="E26" s="8" t="n">
        <f aca="false">COUNTIF(Infrastructure!B102,"Investigate")+COUNTIF(Infrastructure!B103,"Investigate")+COUNTIF(Infrastructure!B104,"Investigate")+COUNTIF(Infrastructure!B105,"Investigate")+COUNTIF(Infrastructure!B106,"Investigate")+COUNTIF(Infrastructure!B107,"Investigate")</f>
        <v>0</v>
      </c>
      <c r="F26" s="9"/>
    </row>
    <row r="27" customFormat="false" ht="18" hidden="false" customHeight="true" outlineLevel="0" collapsed="false">
      <c r="A27" s="7" t="s">
        <v>29</v>
      </c>
      <c r="B27" s="8" t="n">
        <v>7</v>
      </c>
      <c r="C27" s="8" t="n">
        <f aca="false">COUNTIF(Infrastructure!B110,"OK")+COUNTIF(Infrastructure!B111,"OK")+COUNTIF(Infrastructure!B112,"OK")+COUNTIF(Infrastructure!B113,"OK")+COUNTIF(Infrastructure!B114,"OK")+COUNTIF(Infrastructure!B115,"OK")+COUNTIF(Infrastructure!B116,"OK")</f>
        <v>0</v>
      </c>
      <c r="D27" s="8" t="n">
        <f aca="false">COUNTIF(Infrastructure!B110,"Finding")+COUNTIF(Infrastructure!B111,"Finding")+COUNTIF(Infrastructure!B112,"Finding")+COUNTIF(Infrastructure!B113,"Finding")+COUNTIF(Infrastructure!B114,"Finding")+COUNTIF(Infrastructure!B115,"Finding")+COUNTIF(Infrastructure!B116,"Finding")</f>
        <v>0</v>
      </c>
      <c r="E27" s="8" t="n">
        <f aca="false">COUNTIF(Infrastructure!B110,"Investigate")+COUNTIF(Infrastructure!B111,"Investigate")+COUNTIF(Infrastructure!B112,"Investigate")+COUNTIF(Infrastructure!B113,"Investigate")+COUNTIF(Infrastructure!B114,"Investigate")+COUNTIF(Infrastructure!B115,"Investigate")+COUNTIF(Infrastructure!B116,"Investigate")</f>
        <v>0</v>
      </c>
      <c r="F27" s="9"/>
    </row>
    <row r="28" customFormat="false" ht="18" hidden="false" customHeight="true" outlineLevel="0" collapsed="false">
      <c r="A28" s="7" t="s">
        <v>30</v>
      </c>
      <c r="B28" s="8" t="n">
        <v>7</v>
      </c>
      <c r="C28" s="8" t="n">
        <f aca="false">COUNTIF(Infrastructure!B119,"OK")+COUNTIF(Infrastructure!B120,"OK")+COUNTIF(Infrastructure!B121,"OK")+COUNTIF(Infrastructure!B122,"OK")+COUNTIF(Infrastructure!B123,"OK")+COUNTIF(Infrastructure!B124,"OK")+COUNTIF(Infrastructure!B125,"OK")</f>
        <v>0</v>
      </c>
      <c r="D28" s="8" t="n">
        <f aca="false">COUNTIF(Infrastructure!B119,"Finding")+COUNTIF(Infrastructure!B120,"Finding")+COUNTIF(Infrastructure!B121,"Finding")+COUNTIF(Infrastructure!B122,"Finding")+COUNTIF(Infrastructure!B123,"Finding")+COUNTIF(Infrastructure!B124,"Finding")+COUNTIF(Infrastructure!B125,"Finding")</f>
        <v>0</v>
      </c>
      <c r="E28" s="8" t="n">
        <f aca="false">COUNTIF(Infrastructure!B119,"Investigate")+COUNTIF(Infrastructure!B120,"Investigate")+COUNTIF(Infrastructure!B121,"Investigate")+COUNTIF(Infrastructure!B122,"Investigate")+COUNTIF(Infrastructure!B123,"Investigate")+COUNTIF(Infrastructure!B124,"Investigate")+COUNTIF(Infrastructure!B125,"Investigate")</f>
        <v>0</v>
      </c>
      <c r="F28" s="9"/>
    </row>
    <row r="29" customFormat="false" ht="18" hidden="false" customHeight="true" outlineLevel="0" collapsed="false">
      <c r="A29" s="7" t="s">
        <v>31</v>
      </c>
      <c r="B29" s="8" t="n">
        <v>18</v>
      </c>
      <c r="C29" s="8" t="n">
        <f aca="false">COUNTIF(Infrastructure!B128,"OK")+COUNTIF(Infrastructure!B129,"OK")+COUNTIF(Infrastructure!B130,"OK")+COUNTIF(Infrastructure!B131,"OK")+COUNTIF(Infrastructure!B132,"OK")+COUNTIF(Infrastructure!B133,"OK")+COUNTIF(Infrastructure!B134,"OK")+COUNTIF(Infrastructure!B135,"OK")+COUNTIF(Infrastructure!B136,"OK")+COUNTIF(Infrastructure!B137,"OK")+COUNTIF(Infrastructure!B138,"OK")+COUNTIF(Infrastructure!B139,"OK")+COUNTIF(Infrastructure!B140,"OK")+COUNTIF(Infrastructure!B141,"OK")+COUNTIF(Infrastructure!B142,"OK")+COUNTIF(Infrastructure!B143,"OK")+COUNTIF(Infrastructure!B144,"OK")+COUNTIF(Infrastructure!B145,"OK")</f>
        <v>0</v>
      </c>
      <c r="D29" s="8" t="n">
        <f aca="false">COUNTIF(Infrastructure!B128,"Finding")+COUNTIF(Infrastructure!B129,"Finding")+COUNTIF(Infrastructure!B130,"Finding")+COUNTIF(Infrastructure!B131,"Finding")+COUNTIF(Infrastructure!B132,"Finding")+COUNTIF(Infrastructure!B133,"Finding")+COUNTIF(Infrastructure!B134,"Finding")+COUNTIF(Infrastructure!B135,"Finding")+COUNTIF(Infrastructure!B136,"Finding")+COUNTIF(Infrastructure!B137,"Finding")+COUNTIF(Infrastructure!B138,"Finding")+COUNTIF(Infrastructure!B139,"Finding")+COUNTIF(Infrastructure!B140,"Finding")+COUNTIF(Infrastructure!B141,"Finding")+COUNTIF(Infrastructure!B142,"Finding")+COUNTIF(Infrastructure!B143,"Finding")+COUNTIF(Infrastructure!B144,"Finding")+COUNTIF(Infrastructure!B145,"Finding")</f>
        <v>0</v>
      </c>
      <c r="E29" s="8" t="n">
        <f aca="false">COUNTIF(Infrastructure!B128,"Investigate")+COUNTIF(Infrastructure!B129,"Investigate")+COUNTIF(Infrastructure!B130,"Investigate")+COUNTIF(Infrastructure!B131,"Investigate")+COUNTIF(Infrastructure!B132,"Investigate")+COUNTIF(Infrastructure!B133,"Investigate")+COUNTIF(Infrastructure!B134,"Investigate")+COUNTIF(Infrastructure!B135,"Investigate")+COUNTIF(Infrastructure!B136,"Investigate")+COUNTIF(Infrastructure!B137,"Investigate")+COUNTIF(Infrastructure!B138,"Investigate")+COUNTIF(Infrastructure!B139,"Investigate")+COUNTIF(Infrastructure!B140,"Investigate")+COUNTIF(Infrastructure!B141,"Investigate")+COUNTIF(Infrastructure!B142,"Investigate")+COUNTIF(Infrastructure!B143,"Investigate")+COUNTIF(Infrastructure!B144,"Investigate")+COUNTIF(Infrastructure!B145,"Investigate")</f>
        <v>0</v>
      </c>
      <c r="F29" s="9"/>
    </row>
    <row r="30" customFormat="false" ht="18" hidden="false" customHeight="true" outlineLevel="0" collapsed="false">
      <c r="A30" s="7" t="s">
        <v>32</v>
      </c>
      <c r="B30" s="8" t="n">
        <v>19</v>
      </c>
      <c r="C30" s="8" t="n">
        <f aca="false">COUNTIF(Infrastructure!B148,"OK")+COUNTIF(Infrastructure!B149,"OK")+COUNTIF(Infrastructure!B150,"OK")+COUNTIF(Infrastructure!B151,"OK")+COUNTIF(Infrastructure!B152,"OK")+COUNTIF(Infrastructure!B153,"OK")+COUNTIF(Infrastructure!B154,"OK")+COUNTIF(Infrastructure!B155,"OK")+COUNTIF(Infrastructure!B156,"OK")+COUNTIF(Infrastructure!B157,"OK")+COUNTIF(Infrastructure!B158,"OK")+COUNTIF(Infrastructure!B159,"OK")+COUNTIF(Infrastructure!B160,"OK")+COUNTIF(Infrastructure!B161,"OK")+COUNTIF(Infrastructure!B162,"OK")+COUNTIF(Infrastructure!B163,"OK")+COUNTIF(Infrastructure!B164,"OK")+COUNTIF(Infrastructure!B165,"OK")+COUNTIF(Infrastructure!B166,"OK")</f>
        <v>0</v>
      </c>
      <c r="D30" s="8" t="n">
        <f aca="false">COUNTIF(Infrastructure!B148,"Finding")+COUNTIF(Infrastructure!B149,"Finding")+COUNTIF(Infrastructure!B150,"Finding")+COUNTIF(Infrastructure!B151,"Finding")+COUNTIF(Infrastructure!B152,"Finding")+COUNTIF(Infrastructure!B153,"Finding")+COUNTIF(Infrastructure!B154,"Finding")+COUNTIF(Infrastructure!B155,"Finding")+COUNTIF(Infrastructure!B156,"Finding")+COUNTIF(Infrastructure!B157,"Finding")+COUNTIF(Infrastructure!B158,"Finding")+COUNTIF(Infrastructure!B159,"Finding")+COUNTIF(Infrastructure!B160,"Finding")+COUNTIF(Infrastructure!B161,"Finding")+COUNTIF(Infrastructure!B162,"Finding")+COUNTIF(Infrastructure!B163,"Finding")+COUNTIF(Infrastructure!B164,"Finding")+COUNTIF(Infrastructure!B165,"Finding")+COUNTIF(Infrastructure!B166,"Finding")</f>
        <v>0</v>
      </c>
      <c r="E30" s="8" t="n">
        <f aca="false">COUNTIF(Infrastructure!B148,"Investigate")+COUNTIF(Infrastructure!B149,"Investigate")+COUNTIF(Infrastructure!B150,"Investigate")+COUNTIF(Infrastructure!B151,"Investigate")+COUNTIF(Infrastructure!B152,"Investigate")+COUNTIF(Infrastructure!B153,"Investigate")+COUNTIF(Infrastructure!B154,"Investigate")+COUNTIF(Infrastructure!B155,"Investigate")+COUNTIF(Infrastructure!B156,"Investigate")+COUNTIF(Infrastructure!B157,"Investigate")+COUNTIF(Infrastructure!B158,"Investigate")+COUNTIF(Infrastructure!B159,"Investigate")+COUNTIF(Infrastructure!B160,"Investigate")+COUNTIF(Infrastructure!B161,"Investigate")+COUNTIF(Infrastructure!B162,"Investigate")+COUNTIF(Infrastructure!B163,"Investigate")+COUNTIF(Infrastructure!B164,"Investigate")+COUNTIF(Infrastructure!B165,"Investigate")+COUNTIF(Infrastructure!B166,"Investigate")</f>
        <v>0</v>
      </c>
      <c r="F30" s="9"/>
    </row>
    <row r="31" customFormat="false" ht="18" hidden="false" customHeight="true" outlineLevel="0" collapsed="false">
      <c r="A31" s="7" t="s">
        <v>33</v>
      </c>
      <c r="B31" s="8" t="n">
        <v>9</v>
      </c>
      <c r="C31" s="8" t="n">
        <f aca="false">COUNTIF(Infrastructure!B169,"OK")+COUNTIF(Infrastructure!B170,"OK")+COUNTIF(Infrastructure!B171,"OK")+COUNTIF(Infrastructure!B172,"OK")+COUNTIF(Infrastructure!B173,"OK")+COUNTIF(Infrastructure!B174,"OK")+COUNTIF(Infrastructure!B175,"OK")+COUNTIF(Infrastructure!B176,"OK")+COUNTIF(Infrastructure!B177,"OK")</f>
        <v>0</v>
      </c>
      <c r="D31" s="8" t="n">
        <f aca="false">COUNTIF(Infrastructure!B169,"Finding")+COUNTIF(Infrastructure!B170,"Finding")+COUNTIF(Infrastructure!B171,"Finding")+COUNTIF(Infrastructure!B172,"Finding")+COUNTIF(Infrastructure!B173,"Finding")+COUNTIF(Infrastructure!B174,"Finding")+COUNTIF(Infrastructure!B175,"Finding")+COUNTIF(Infrastructure!B176,"Finding")+COUNTIF(Infrastructure!B177,"Finding")</f>
        <v>0</v>
      </c>
      <c r="E31" s="8" t="n">
        <f aca="false">COUNTIF(Infrastructure!B169,"Investigate")+COUNTIF(Infrastructure!B170,"Investigate")+COUNTIF(Infrastructure!B171,"Investigate")+COUNTIF(Infrastructure!B172,"Investigate")+COUNTIF(Infrastructure!B173,"Investigate")+COUNTIF(Infrastructure!B174,"Investigate")+COUNTIF(Infrastructure!B175,"Investigate")+COUNTIF(Infrastructure!B176,"Investigate")+COUNTIF(Infrastructure!B177,"Investigate")</f>
        <v>0</v>
      </c>
      <c r="F31" s="9"/>
    </row>
    <row r="32" customFormat="false" ht="18" hidden="false" customHeight="true" outlineLevel="0" collapsed="false">
      <c r="A32" s="7" t="s">
        <v>34</v>
      </c>
      <c r="B32" s="8" t="n">
        <v>6</v>
      </c>
      <c r="C32" s="8" t="n">
        <f aca="false">COUNTIF(Infrastructure!B180,"OK")+COUNTIF(Infrastructure!B181,"OK")+COUNTIF(Infrastructure!B182,"OK")+COUNTIF(Infrastructure!B183,"OK")+COUNTIF(Infrastructure!B184,"OK")+COUNTIF(Infrastructure!B185,"OK")</f>
        <v>0</v>
      </c>
      <c r="D32" s="8" t="n">
        <f aca="false">COUNTIF(Infrastructure!B180,"Finding")+COUNTIF(Infrastructure!B181,"Finding")+COUNTIF(Infrastructure!B182,"Finding")+COUNTIF(Infrastructure!B183,"Finding")+COUNTIF(Infrastructure!B184,"Finding")+COUNTIF(Infrastructure!B185,"Finding")</f>
        <v>0</v>
      </c>
      <c r="E32" s="8" t="n">
        <f aca="false">COUNTIF(Infrastructure!B180,"Investigate")+COUNTIF(Infrastructure!B181,"Investigate")+COUNTIF(Infrastructure!B182,"Investigate")+COUNTIF(Infrastructure!B183,"Investigate")+COUNTIF(Infrastructure!B184,"Investigate")+COUNTIF(Infrastructure!B185,"Investigate")</f>
        <v>0</v>
      </c>
      <c r="F32" s="9"/>
    </row>
    <row r="33" customFormat="false" ht="18" hidden="false" customHeight="true" outlineLevel="0" collapsed="false">
      <c r="A33" s="7" t="s">
        <v>35</v>
      </c>
      <c r="B33" s="8" t="n">
        <v>8</v>
      </c>
      <c r="C33" s="8" t="n">
        <f aca="false">COUNTIF(Infrastructure!B188,"OK")+COUNTIF(Infrastructure!B189,"OK")+COUNTIF(Infrastructure!B190,"OK")+COUNTIF(Infrastructure!B191,"OK")+COUNTIF(Infrastructure!B192,"OK")+COUNTIF(Infrastructure!B193,"OK")+COUNTIF(Infrastructure!B194,"OK")+COUNTIF(Infrastructure!B195,"OK")</f>
        <v>0</v>
      </c>
      <c r="D33" s="8" t="n">
        <f aca="false">COUNTIF(Infrastructure!B188,"Finding")+COUNTIF(Infrastructure!B189,"Finding")+COUNTIF(Infrastructure!B190,"Finding")+COUNTIF(Infrastructure!B191,"Finding")+COUNTIF(Infrastructure!B192,"Finding")+COUNTIF(Infrastructure!B193,"Finding")+COUNTIF(Infrastructure!B194,"Finding")+COUNTIF(Infrastructure!B195,"Finding")</f>
        <v>0</v>
      </c>
      <c r="E33" s="8" t="n">
        <f aca="false">COUNTIF(Infrastructure!B188,"Investigate")+COUNTIF(Infrastructure!B189,"Investigate")+COUNTIF(Infrastructure!B190,"Investigate")+COUNTIF(Infrastructure!B191,"Investigate")+COUNTIF(Infrastructure!B192,"Investigate")+COUNTIF(Infrastructure!B193,"Investigate")+COUNTIF(Infrastructure!B194,"Investigate")+COUNTIF(Infrastructure!B195,"Investigate")</f>
        <v>0</v>
      </c>
      <c r="F33" s="9"/>
    </row>
    <row r="34" customFormat="false" ht="6" hidden="false" customHeight="true" outlineLevel="0" collapsed="false">
      <c r="A34" s="10"/>
      <c r="B34" s="10"/>
      <c r="C34" s="10"/>
      <c r="D34" s="10"/>
      <c r="E34" s="10"/>
      <c r="F34" s="10"/>
    </row>
    <row r="35" customFormat="false" ht="21.75" hidden="false" customHeight="true" outlineLevel="0" collapsed="false">
      <c r="A35" s="6" t="s">
        <v>36</v>
      </c>
      <c r="B35" s="4" t="n">
        <v>128</v>
      </c>
      <c r="C35" s="4" t="n">
        <f aca="false">COUNTIF('Active Directory'!B3,"OK")+COUNTIF('Active Directory'!B4,"OK")+COUNTIF('Active Directory'!B5,"OK")+COUNTIF('Active Directory'!B6,"OK")+COUNTIF('Active Directory'!B7,"OK")+COUNTIF('Active Directory'!B10,"OK")+COUNTIF('Active Directory'!B11,"OK")+COUNTIF('Active Directory'!B12,"OK")+COUNTIF('Active Directory'!B13,"OK")+COUNTIF('Active Directory'!B14,"OK")+COUNTIF('Active Directory'!B15,"OK")+COUNTIF('Active Directory'!B16,"OK")+COUNTIF('Active Directory'!B17,"OK")+COUNTIF('Active Directory'!B18,"OK")+COUNTIF('Active Directory'!B19,"OK")+COUNTIF('Active Directory'!B20,"OK")+COUNTIF('Active Directory'!B21,"OK")+COUNTIF('Active Directory'!B22,"OK")+COUNTIF('Active Directory'!B23,"OK")+COUNTIF('Active Directory'!B24,"OK")+COUNTIF('Active Directory'!B27,"OK")+COUNTIF('Active Directory'!B28,"OK")+COUNTIF('Active Directory'!B29,"OK")+COUNTIF('Active Directory'!B30,"OK")+COUNTIF('Active Directory'!B31,"OK")+COUNTIF('Active Directory'!B32,"OK")+COUNTIF('Active Directory'!B33,"OK")+COUNTIF('Active Directory'!B36,"OK")+COUNTIF('Active Directory'!B37,"OK")+COUNTIF('Active Directory'!B38,"OK")+COUNTIF('Active Directory'!B39,"OK")+COUNTIF('Active Directory'!B40,"OK")+COUNTIF('Active Directory'!B41,"OK")+COUNTIF('Active Directory'!B42,"OK")+COUNTIF('Active Directory'!B43,"OK")+COUNTIF('Active Directory'!B44,"OK")+COUNTIF('Active Directory'!B45,"OK")+COUNTIF('Active Directory'!B46,"OK")+COUNTIF('Active Directory'!B47,"OK")+COUNTIF('Active Directory'!B48,"OK")+COUNTIF('Active Directory'!B49,"OK")+COUNTIF('Active Directory'!B50,"OK")+COUNTIF('Active Directory'!B51,"OK")+COUNTIF('Active Directory'!B52,"OK")+COUNTIF('Active Directory'!B55,"OK")+COUNTIF('Active Directory'!B56,"OK")+COUNTIF('Active Directory'!B57,"OK")+COUNTIF('Active Directory'!B58,"OK")+COUNTIF('Active Directory'!B59,"OK")+COUNTIF('Active Directory'!B60,"OK")+COUNTIF('Active Directory'!B61,"OK")+COUNTIF('Active Directory'!B62,"OK")+COUNTIF('Active Directory'!B63,"OK")+COUNTIF('Active Directory'!B64,"OK")+COUNTIF('Active Directory'!B65,"OK")+COUNTIF('Active Directory'!B66,"OK")+COUNTIF('Active Directory'!B67,"OK")+COUNTIF('Active Directory'!B68,"OK")+COUNTIF('Active Directory'!B71,"OK")+COUNTIF('Active Directory'!B72,"OK")+COUNTIF('Active Directory'!B73,"OK")+COUNTIF('Active Directory'!B74,"OK")+COUNTIF('Active Directory'!B75,"OK")+COUNTIF('Active Directory'!B76,"OK")+COUNTIF('Active Directory'!B77,"OK")+COUNTIF('Active Directory'!B78,"OK")+COUNTIF('Active Directory'!B79,"OK")+COUNTIF('Active Directory'!B80,"OK")+COUNTIF('Active Directory'!B83,"OK")+COUNTIF('Active Directory'!B84,"OK")+COUNTIF('Active Directory'!B85,"OK")+COUNTIF('Active Directory'!B86,"OK")+COUNTIF('Active Directory'!B87,"OK")+COUNTIF('Active Directory'!B88,"OK")+COUNTIF('Active Directory'!B89,"OK")+COUNTIF('Active Directory'!B90,"OK")+COUNTIF('Active Directory'!B91,"OK")+COUNTIF('Active Directory'!B92,"OK")+COUNTIF('Active Directory'!B93,"OK")+COUNTIF('Active Directory'!B94,"OK")+COUNTIF('Active Directory'!B95,"OK")+COUNTIF('Active Directory'!B96,"OK")+COUNTIF('Active Directory'!B99,"OK")+COUNTIF('Active Directory'!B100,"OK")+COUNTIF('Active Directory'!B101,"OK")+COUNTIF('Active Directory'!B102,"OK")+COUNTIF('Active Directory'!B103,"OK")+COUNTIF('Active Directory'!B104,"OK")+COUNTIF('Active Directory'!B105,"OK")+COUNTIF('Active Directory'!B106,"OK")+COUNTIF('Active Directory'!B107,"OK")+COUNTIF('Active Directory'!B108,"OK")+COUNTIF('Active Directory'!B109,"OK")+COUNTIF('Active Directory'!B110,"OK")+COUNTIF('Active Directory'!B113,"OK")+COUNTIF('Active Directory'!B114,"OK")+COUNTIF('Active Directory'!B115,"OK")+COUNTIF('Active Directory'!B116,"OK")+COUNTIF('Active Directory'!B117,"OK")+COUNTIF('Active Directory'!B118,"OK")+COUNTIF('Active Directory'!B119,"OK")+COUNTIF('Active Directory'!B120,"OK")+COUNTIF('Active Directory'!B121,"OK")+COUNTIF('Active Directory'!B122,"OK")+COUNTIF('Active Directory'!B125,"OK")+COUNTIF('Active Directory'!B126,"OK")+COUNTIF('Active Directory'!B127,"OK")+COUNTIF('Active Directory'!B128,"OK")+COUNTIF('Active Directory'!B129,"OK")+COUNTIF('Active Directory'!B130,"OK")+COUNTIF('Active Directory'!B131,"OK")+COUNTIF('Active Directory'!B132,"OK")+COUNTIF('Active Directory'!B133,"OK")+COUNTIF('Active Directory'!B136,"OK")+COUNTIF('Active Directory'!B137,"OK")+COUNTIF('Active Directory'!B138,"OK")+COUNTIF('Active Directory'!B139,"OK")+COUNTIF('Active Directory'!B140,"OK")+COUNTIF('Active Directory'!B141,"OK")+COUNTIF('Active Directory'!B142,"OK")+COUNTIF('Active Directory'!B143,"OK")+COUNTIF('Active Directory'!B146,"OK")+COUNTIF('Active Directory'!B147,"OK")+COUNTIF('Active Directory'!B148,"OK")+COUNTIF('Active Directory'!B149,"OK")+COUNTIF('Active Directory'!B150,"OK")+COUNTIF('Active Directory'!B151,"OK")+COUNTIF('Active Directory'!B152,"OK")</f>
        <v>0</v>
      </c>
      <c r="D35" s="4" t="n">
        <f aca="false">COUNTIF('Active Directory'!B3,"Finding")+COUNTIF('Active Directory'!B4,"Finding")+COUNTIF('Active Directory'!B5,"Finding")+COUNTIF('Active Directory'!B6,"Finding")+COUNTIF('Active Directory'!B7,"Finding")+COUNTIF('Active Directory'!B10,"Finding")+COUNTIF('Active Directory'!B11,"Finding")+COUNTIF('Active Directory'!B12,"Finding")+COUNTIF('Active Directory'!B13,"Finding")+COUNTIF('Active Directory'!B14,"Finding")+COUNTIF('Active Directory'!B15,"Finding")+COUNTIF('Active Directory'!B16,"Finding")+COUNTIF('Active Directory'!B17,"Finding")+COUNTIF('Active Directory'!B18,"Finding")+COUNTIF('Active Directory'!B19,"Finding")+COUNTIF('Active Directory'!B20,"Finding")+COUNTIF('Active Directory'!B21,"Finding")+COUNTIF('Active Directory'!B22,"Finding")+COUNTIF('Active Directory'!B23,"Finding")+COUNTIF('Active Directory'!B24,"Finding")+COUNTIF('Active Directory'!B27,"Finding")+COUNTIF('Active Directory'!B28,"Finding")+COUNTIF('Active Directory'!B29,"Finding")+COUNTIF('Active Directory'!B30,"Finding")+COUNTIF('Active Directory'!B31,"Finding")+COUNTIF('Active Directory'!B32,"Finding")+COUNTIF('Active Directory'!B33,"Finding")+COUNTIF('Active Directory'!B36,"Finding")+COUNTIF('Active Directory'!B37,"Finding")+COUNTIF('Active Directory'!B38,"Finding")+COUNTIF('Active Directory'!B39,"Finding")+COUNTIF('Active Directory'!B40,"Finding")+COUNTIF('Active Directory'!B41,"Finding")+COUNTIF('Active Directory'!B42,"Finding")+COUNTIF('Active Directory'!B43,"Finding")+COUNTIF('Active Directory'!B44,"Finding")+COUNTIF('Active Directory'!B45,"Finding")+COUNTIF('Active Directory'!B46,"Finding")+COUNTIF('Active Directory'!B47,"Finding")+COUNTIF('Active Directory'!B48,"Finding")+COUNTIF('Active Directory'!B49,"Finding")+COUNTIF('Active Directory'!B50,"Finding")+COUNTIF('Active Directory'!B51,"Finding")+COUNTIF('Active Directory'!B52,"Finding")+COUNTIF('Active Directory'!B55,"Finding")+COUNTIF('Active Directory'!B56,"Finding")+COUNTIF('Active Directory'!B57,"Finding")+COUNTIF('Active Directory'!B58,"Finding")+COUNTIF('Active Directory'!B59,"Finding")+COUNTIF('Active Directory'!B60,"Finding")+COUNTIF('Active Directory'!B61,"Finding")+COUNTIF('Active Directory'!B62,"Finding")+COUNTIF('Active Directory'!B63,"Finding")+COUNTIF('Active Directory'!B64,"Finding")+COUNTIF('Active Directory'!B65,"Finding")+COUNTIF('Active Directory'!B66,"Finding")+COUNTIF('Active Directory'!B67,"Finding")+COUNTIF('Active Directory'!B68,"Finding")+COUNTIF('Active Directory'!B71,"Finding")+COUNTIF('Active Directory'!B72,"Finding")+COUNTIF('Active Directory'!B73,"Finding")+COUNTIF('Active Directory'!B74,"Finding")+COUNTIF('Active Directory'!B75,"Finding")+COUNTIF('Active Directory'!B76,"Finding")+COUNTIF('Active Directory'!B77,"Finding")+COUNTIF('Active Directory'!B78,"Finding")+COUNTIF('Active Directory'!B79,"Finding")+COUNTIF('Active Directory'!B80,"Finding")+COUNTIF('Active Directory'!B83,"Finding")+COUNTIF('Active Directory'!B84,"Finding")+COUNTIF('Active Directory'!B85,"Finding")+COUNTIF('Active Directory'!B86,"Finding")+COUNTIF('Active Directory'!B87,"Finding")+COUNTIF('Active Directory'!B88,"Finding")+COUNTIF('Active Directory'!B89,"Finding")+COUNTIF('Active Directory'!B90,"Finding")+COUNTIF('Active Directory'!B91,"Finding")+COUNTIF('Active Directory'!B92,"Finding")+COUNTIF('Active Directory'!B93,"Finding")+COUNTIF('Active Directory'!B94,"Finding")+COUNTIF('Active Directory'!B95,"Finding")+COUNTIF('Active Directory'!B96,"Finding")+COUNTIF('Active Directory'!B99,"Finding")+COUNTIF('Active Directory'!B100,"Finding")+COUNTIF('Active Directory'!B101,"Finding")+COUNTIF('Active Directory'!B102,"Finding")+COUNTIF('Active Directory'!B103,"Finding")+COUNTIF('Active Directory'!B104,"Finding")+COUNTIF('Active Directory'!B105,"Finding")+COUNTIF('Active Directory'!B106,"Finding")+COUNTIF('Active Directory'!B107,"Finding")+COUNTIF('Active Directory'!B108,"Finding")+COUNTIF('Active Directory'!B109,"Finding")+COUNTIF('Active Directory'!B110,"Finding")+COUNTIF('Active Directory'!B113,"Finding")+COUNTIF('Active Directory'!B114,"Finding")+COUNTIF('Active Directory'!B115,"Finding")+COUNTIF('Active Directory'!B116,"Finding")+COUNTIF('Active Directory'!B117,"Finding")+COUNTIF('Active Directory'!B118,"Finding")+COUNTIF('Active Directory'!B119,"Finding")+COUNTIF('Active Directory'!B120,"Finding")+COUNTIF('Active Directory'!B121,"Finding")+COUNTIF('Active Directory'!B122,"Finding")+COUNTIF('Active Directory'!B125,"Finding")+COUNTIF('Active Directory'!B126,"Finding")+COUNTIF('Active Directory'!B127,"Finding")+COUNTIF('Active Directory'!B128,"Finding")+COUNTIF('Active Directory'!B129,"Finding")+COUNTIF('Active Directory'!B130,"Finding")+COUNTIF('Active Directory'!B131,"Finding")+COUNTIF('Active Directory'!B132,"Finding")+COUNTIF('Active Directory'!B133,"Finding")+COUNTIF('Active Directory'!B136,"Finding")+COUNTIF('Active Directory'!B137,"Finding")+COUNTIF('Active Directory'!B138,"Finding")+COUNTIF('Active Directory'!B139,"Finding")+COUNTIF('Active Directory'!B140,"Finding")+COUNTIF('Active Directory'!B141,"Finding")+COUNTIF('Active Directory'!B142,"Finding")+COUNTIF('Active Directory'!B143,"Finding")+COUNTIF('Active Directory'!B146,"Finding")+COUNTIF('Active Directory'!B147,"Finding")+COUNTIF('Active Directory'!B148,"Finding")+COUNTIF('Active Directory'!B149,"Finding")+COUNTIF('Active Directory'!B150,"Finding")+COUNTIF('Active Directory'!B151,"Finding")+COUNTIF('Active Directory'!B152,"Finding")</f>
        <v>0</v>
      </c>
      <c r="E35" s="4" t="n">
        <f aca="false">COUNTIF('Active Directory'!B3,"Investigate")+COUNTIF('Active Directory'!B4,"Investigate")+COUNTIF('Active Directory'!B5,"Investigate")+COUNTIF('Active Directory'!B6,"Investigate")+COUNTIF('Active Directory'!B7,"Investigate")+COUNTIF('Active Directory'!B10,"Investigate")+COUNTIF('Active Directory'!B11,"Investigate")+COUNTIF('Active Directory'!B12,"Investigate")+COUNTIF('Active Directory'!B13,"Investigate")+COUNTIF('Active Directory'!B14,"Investigate")+COUNTIF('Active Directory'!B15,"Investigate")+COUNTIF('Active Directory'!B16,"Investigate")+COUNTIF('Active Directory'!B17,"Investigate")+COUNTIF('Active Directory'!B18,"Investigate")+COUNTIF('Active Directory'!B19,"Investigate")+COUNTIF('Active Directory'!B20,"Investigate")+COUNTIF('Active Directory'!B21,"Investigate")+COUNTIF('Active Directory'!B22,"Investigate")+COUNTIF('Active Directory'!B23,"Investigate")+COUNTIF('Active Directory'!B24,"Investigate")+COUNTIF('Active Directory'!B27,"Investigate")+COUNTIF('Active Directory'!B28,"Investigate")+COUNTIF('Active Directory'!B29,"Investigate")+COUNTIF('Active Directory'!B30,"Investigate")+COUNTIF('Active Directory'!B31,"Investigate")+COUNTIF('Active Directory'!B32,"Investigate")+COUNTIF('Active Directory'!B33,"Investigate")+COUNTIF('Active Directory'!B36,"Investigate")+COUNTIF('Active Directory'!B37,"Investigate")+COUNTIF('Active Directory'!B38,"Investigate")+COUNTIF('Active Directory'!B39,"Investigate")+COUNTIF('Active Directory'!B40,"Investigate")+COUNTIF('Active Directory'!B41,"Investigate")+COUNTIF('Active Directory'!B42,"Investigate")+COUNTIF('Active Directory'!B43,"Investigate")+COUNTIF('Active Directory'!B44,"Investigate")+COUNTIF('Active Directory'!B45,"Investigate")+COUNTIF('Active Directory'!B46,"Investigate")+COUNTIF('Active Directory'!B47,"Investigate")+COUNTIF('Active Directory'!B48,"Investigate")+COUNTIF('Active Directory'!B49,"Investigate")+COUNTIF('Active Directory'!B50,"Investigate")+COUNTIF('Active Directory'!B51,"Investigate")+COUNTIF('Active Directory'!B52,"Investigate")+COUNTIF('Active Directory'!B55,"Investigate")+COUNTIF('Active Directory'!B56,"Investigate")+COUNTIF('Active Directory'!B57,"Investigate")+COUNTIF('Active Directory'!B58,"Investigate")+COUNTIF('Active Directory'!B59,"Investigate")+COUNTIF('Active Directory'!B60,"Investigate")+COUNTIF('Active Directory'!B61,"Investigate")+COUNTIF('Active Directory'!B62,"Investigate")+COUNTIF('Active Directory'!B63,"Investigate")+COUNTIF('Active Directory'!B64,"Investigate")+COUNTIF('Active Directory'!B65,"Investigate")+COUNTIF('Active Directory'!B66,"Investigate")+COUNTIF('Active Directory'!B67,"Investigate")+COUNTIF('Active Directory'!B68,"Investigate")+COUNTIF('Active Directory'!B71,"Investigate")+COUNTIF('Active Directory'!B72,"Investigate")+COUNTIF('Active Directory'!B73,"Investigate")+COUNTIF('Active Directory'!B74,"Investigate")+COUNTIF('Active Directory'!B75,"Investigate")+COUNTIF('Active Directory'!B76,"Investigate")+COUNTIF('Active Directory'!B77,"Investigate")+COUNTIF('Active Directory'!B78,"Investigate")+COUNTIF('Active Directory'!B79,"Investigate")+COUNTIF('Active Directory'!B80,"Investigate")+COUNTIF('Active Directory'!B83,"Investigate")+COUNTIF('Active Directory'!B84,"Investigate")+COUNTIF('Active Directory'!B85,"Investigate")+COUNTIF('Active Directory'!B86,"Investigate")+COUNTIF('Active Directory'!B87,"Investigate")+COUNTIF('Active Directory'!B88,"Investigate")+COUNTIF('Active Directory'!B89,"Investigate")+COUNTIF('Active Directory'!B90,"Investigate")+COUNTIF('Active Directory'!B91,"Investigate")+COUNTIF('Active Directory'!B92,"Investigate")+COUNTIF('Active Directory'!B93,"Investigate")+COUNTIF('Active Directory'!B94,"Investigate")+COUNTIF('Active Directory'!B95,"Investigate")+COUNTIF('Active Directory'!B96,"Investigate")+COUNTIF('Active Directory'!B99,"Investigate")+COUNTIF('Active Directory'!B100,"Investigate")+COUNTIF('Active Directory'!B101,"Investigate")+COUNTIF('Active Directory'!B102,"Investigate")+COUNTIF('Active Directory'!B103,"Investigate")+COUNTIF('Active Directory'!B104,"Investigate")+COUNTIF('Active Directory'!B105,"Investigate")+COUNTIF('Active Directory'!B106,"Investigate")+COUNTIF('Active Directory'!B107,"Investigate")+COUNTIF('Active Directory'!B108,"Investigate")+COUNTIF('Active Directory'!B109,"Investigate")+COUNTIF('Active Directory'!B110,"Investigate")+COUNTIF('Active Directory'!B113,"Investigate")+COUNTIF('Active Directory'!B114,"Investigate")+COUNTIF('Active Directory'!B115,"Investigate")+COUNTIF('Active Directory'!B116,"Investigate")+COUNTIF('Active Directory'!B117,"Investigate")+COUNTIF('Active Directory'!B118,"Investigate")+COUNTIF('Active Directory'!B119,"Investigate")+COUNTIF('Active Directory'!B120,"Investigate")+COUNTIF('Active Directory'!B121,"Investigate")+COUNTIF('Active Directory'!B122,"Investigate")+COUNTIF('Active Directory'!B125,"Investigate")+COUNTIF('Active Directory'!B126,"Investigate")+COUNTIF('Active Directory'!B127,"Investigate")+COUNTIF('Active Directory'!B128,"Investigate")+COUNTIF('Active Directory'!B129,"Investigate")+COUNTIF('Active Directory'!B130,"Investigate")+COUNTIF('Active Directory'!B131,"Investigate")+COUNTIF('Active Directory'!B132,"Investigate")+COUNTIF('Active Directory'!B133,"Investigate")+COUNTIF('Active Directory'!B136,"Investigate")+COUNTIF('Active Directory'!B137,"Investigate")+COUNTIF('Active Directory'!B138,"Investigate")+COUNTIF('Active Directory'!B139,"Investigate")+COUNTIF('Active Directory'!B140,"Investigate")+COUNTIF('Active Directory'!B141,"Investigate")+COUNTIF('Active Directory'!B142,"Investigate")+COUNTIF('Active Directory'!B143,"Investigate")+COUNTIF('Active Directory'!B146,"Investigate")+COUNTIF('Active Directory'!B147,"Investigate")+COUNTIF('Active Directory'!B148,"Investigate")+COUNTIF('Active Directory'!B149,"Investigate")+COUNTIF('Active Directory'!B150,"Investigate")+COUNTIF('Active Directory'!B151,"Investigate")+COUNTIF('Active Directory'!B152,"Investigate")</f>
        <v>0</v>
      </c>
      <c r="F35" s="5"/>
    </row>
    <row r="36" customFormat="false" ht="18" hidden="false" customHeight="true" outlineLevel="0" collapsed="false">
      <c r="A36" s="7" t="s">
        <v>37</v>
      </c>
      <c r="B36" s="8" t="n">
        <v>5</v>
      </c>
      <c r="C36" s="8" t="n">
        <f aca="false">COUNTIF('Active Directory'!B3,"OK")+COUNTIF('Active Directory'!B4,"OK")+COUNTIF('Active Directory'!B5,"OK")+COUNTIF('Active Directory'!B6,"OK")+COUNTIF('Active Directory'!B7,"OK")</f>
        <v>0</v>
      </c>
      <c r="D36" s="8" t="n">
        <f aca="false">COUNTIF('Active Directory'!B3,"Finding")+COUNTIF('Active Directory'!B4,"Finding")+COUNTIF('Active Directory'!B5,"Finding")+COUNTIF('Active Directory'!B6,"Finding")+COUNTIF('Active Directory'!B7,"Finding")</f>
        <v>0</v>
      </c>
      <c r="E36" s="8" t="n">
        <f aca="false">COUNTIF('Active Directory'!B3,"Investigate")+COUNTIF('Active Directory'!B4,"Investigate")+COUNTIF('Active Directory'!B5,"Investigate")+COUNTIF('Active Directory'!B6,"Investigate")+COUNTIF('Active Directory'!B7,"Investigate")</f>
        <v>0</v>
      </c>
      <c r="F36" s="9"/>
    </row>
    <row r="37" customFormat="false" ht="18" hidden="false" customHeight="true" outlineLevel="0" collapsed="false">
      <c r="A37" s="7" t="s">
        <v>38</v>
      </c>
      <c r="B37" s="8" t="n">
        <v>15</v>
      </c>
      <c r="C37" s="8" t="n">
        <f aca="false">COUNTIF('Active Directory'!B10,"OK")+COUNTIF('Active Directory'!B11,"OK")+COUNTIF('Active Directory'!B12,"OK")+COUNTIF('Active Directory'!B13,"OK")+COUNTIF('Active Directory'!B14,"OK")+COUNTIF('Active Directory'!B15,"OK")+COUNTIF('Active Directory'!B16,"OK")+COUNTIF('Active Directory'!B17,"OK")+COUNTIF('Active Directory'!B18,"OK")+COUNTIF('Active Directory'!B19,"OK")+COUNTIF('Active Directory'!B20,"OK")+COUNTIF('Active Directory'!B21,"OK")+COUNTIF('Active Directory'!B22,"OK")+COUNTIF('Active Directory'!B23,"OK")+COUNTIF('Active Directory'!B24,"OK")</f>
        <v>0</v>
      </c>
      <c r="D37" s="8" t="n">
        <f aca="false">COUNTIF('Active Directory'!B10,"Finding")+COUNTIF('Active Directory'!B11,"Finding")+COUNTIF('Active Directory'!B12,"Finding")+COUNTIF('Active Directory'!B13,"Finding")+COUNTIF('Active Directory'!B14,"Finding")+COUNTIF('Active Directory'!B15,"Finding")+COUNTIF('Active Directory'!B16,"Finding")+COUNTIF('Active Directory'!B17,"Finding")+COUNTIF('Active Directory'!B18,"Finding")+COUNTIF('Active Directory'!B19,"Finding")+COUNTIF('Active Directory'!B20,"Finding")+COUNTIF('Active Directory'!B21,"Finding")+COUNTIF('Active Directory'!B22,"Finding")+COUNTIF('Active Directory'!B23,"Finding")+COUNTIF('Active Directory'!B24,"Finding")</f>
        <v>0</v>
      </c>
      <c r="E37" s="8" t="n">
        <f aca="false">COUNTIF('Active Directory'!B10,"Investigate")+COUNTIF('Active Directory'!B11,"Investigate")+COUNTIF('Active Directory'!B12,"Investigate")+COUNTIF('Active Directory'!B13,"Investigate")+COUNTIF('Active Directory'!B14,"Investigate")+COUNTIF('Active Directory'!B15,"Investigate")+COUNTIF('Active Directory'!B16,"Investigate")+COUNTIF('Active Directory'!B17,"Investigate")+COUNTIF('Active Directory'!B18,"Investigate")+COUNTIF('Active Directory'!B19,"Investigate")+COUNTIF('Active Directory'!B20,"Investigate")+COUNTIF('Active Directory'!B21,"Investigate")+COUNTIF('Active Directory'!B22,"Investigate")+COUNTIF('Active Directory'!B23,"Investigate")+COUNTIF('Active Directory'!B24,"Investigate")</f>
        <v>0</v>
      </c>
      <c r="F37" s="9"/>
    </row>
    <row r="38" customFormat="false" ht="18" hidden="false" customHeight="true" outlineLevel="0" collapsed="false">
      <c r="A38" s="7" t="s">
        <v>39</v>
      </c>
      <c r="B38" s="8" t="n">
        <v>7</v>
      </c>
      <c r="C38" s="8" t="n">
        <f aca="false">COUNTIF('Active Directory'!B27,"OK")+COUNTIF('Active Directory'!B28,"OK")+COUNTIF('Active Directory'!B29,"OK")+COUNTIF('Active Directory'!B30,"OK")+COUNTIF('Active Directory'!B31,"OK")+COUNTIF('Active Directory'!B32,"OK")+COUNTIF('Active Directory'!B33,"OK")</f>
        <v>0</v>
      </c>
      <c r="D38" s="8" t="n">
        <f aca="false">COUNTIF('Active Directory'!B27,"Finding")+COUNTIF('Active Directory'!B28,"Finding")+COUNTIF('Active Directory'!B29,"Finding")+COUNTIF('Active Directory'!B30,"Finding")+COUNTIF('Active Directory'!B31,"Finding")+COUNTIF('Active Directory'!B32,"Finding")+COUNTIF('Active Directory'!B33,"Finding")</f>
        <v>0</v>
      </c>
      <c r="E38" s="8" t="n">
        <f aca="false">COUNTIF('Active Directory'!B27,"Investigate")+COUNTIF('Active Directory'!B28,"Investigate")+COUNTIF('Active Directory'!B29,"Investigate")+COUNTIF('Active Directory'!B30,"Investigate")+COUNTIF('Active Directory'!B31,"Investigate")+COUNTIF('Active Directory'!B32,"Investigate")+COUNTIF('Active Directory'!B33,"Investigate")</f>
        <v>0</v>
      </c>
      <c r="F38" s="9"/>
    </row>
    <row r="39" customFormat="false" ht="18" hidden="false" customHeight="true" outlineLevel="0" collapsed="false">
      <c r="A39" s="7" t="s">
        <v>40</v>
      </c>
      <c r="B39" s="8" t="n">
        <v>17</v>
      </c>
      <c r="C39" s="8" t="n">
        <f aca="false">COUNTIF('Active Directory'!B36,"OK")+COUNTIF('Active Directory'!B37,"OK")+COUNTIF('Active Directory'!B38,"OK")+COUNTIF('Active Directory'!B39,"OK")+COUNTIF('Active Directory'!B40,"OK")+COUNTIF('Active Directory'!B41,"OK")+COUNTIF('Active Directory'!B42,"OK")+COUNTIF('Active Directory'!B43,"OK")+COUNTIF('Active Directory'!B44,"OK")+COUNTIF('Active Directory'!B45,"OK")+COUNTIF('Active Directory'!B46,"OK")+COUNTIF('Active Directory'!B47,"OK")+COUNTIF('Active Directory'!B48,"OK")+COUNTIF('Active Directory'!B49,"OK")+COUNTIF('Active Directory'!B50,"OK")+COUNTIF('Active Directory'!B51,"OK")+COUNTIF('Active Directory'!B52,"OK")</f>
        <v>0</v>
      </c>
      <c r="D39" s="8" t="n">
        <f aca="false">COUNTIF('Active Directory'!B36,"Finding")+COUNTIF('Active Directory'!B37,"Finding")+COUNTIF('Active Directory'!B38,"Finding")+COUNTIF('Active Directory'!B39,"Finding")+COUNTIF('Active Directory'!B40,"Finding")+COUNTIF('Active Directory'!B41,"Finding")+COUNTIF('Active Directory'!B42,"Finding")+COUNTIF('Active Directory'!B43,"Finding")+COUNTIF('Active Directory'!B44,"Finding")+COUNTIF('Active Directory'!B45,"Finding")+COUNTIF('Active Directory'!B46,"Finding")+COUNTIF('Active Directory'!B47,"Finding")+COUNTIF('Active Directory'!B48,"Finding")+COUNTIF('Active Directory'!B49,"Finding")+COUNTIF('Active Directory'!B50,"Finding")+COUNTIF('Active Directory'!B51,"Finding")+COUNTIF('Active Directory'!B52,"Finding")</f>
        <v>0</v>
      </c>
      <c r="E39" s="8" t="n">
        <f aca="false">COUNTIF('Active Directory'!B36,"Investigate")+COUNTIF('Active Directory'!B37,"Investigate")+COUNTIF('Active Directory'!B38,"Investigate")+COUNTIF('Active Directory'!B39,"Investigate")+COUNTIF('Active Directory'!B40,"Investigate")+COUNTIF('Active Directory'!B41,"Investigate")+COUNTIF('Active Directory'!B42,"Investigate")+COUNTIF('Active Directory'!B43,"Investigate")+COUNTIF('Active Directory'!B44,"Investigate")+COUNTIF('Active Directory'!B45,"Investigate")+COUNTIF('Active Directory'!B46,"Investigate")+COUNTIF('Active Directory'!B47,"Investigate")+COUNTIF('Active Directory'!B48,"Investigate")+COUNTIF('Active Directory'!B49,"Investigate")+COUNTIF('Active Directory'!B50,"Investigate")+COUNTIF('Active Directory'!B51,"Investigate")+COUNTIF('Active Directory'!B52,"Investigate")</f>
        <v>0</v>
      </c>
      <c r="F39" s="9"/>
    </row>
    <row r="40" customFormat="false" ht="18" hidden="false" customHeight="true" outlineLevel="0" collapsed="false">
      <c r="A40" s="7" t="s">
        <v>41</v>
      </c>
      <c r="B40" s="8" t="n">
        <v>14</v>
      </c>
      <c r="C40" s="8" t="n">
        <f aca="false">COUNTIF('Active Directory'!B55,"OK")+COUNTIF('Active Directory'!B56,"OK")+COUNTIF('Active Directory'!B57,"OK")+COUNTIF('Active Directory'!B58,"OK")+COUNTIF('Active Directory'!B59,"OK")+COUNTIF('Active Directory'!B60,"OK")+COUNTIF('Active Directory'!B61,"OK")+COUNTIF('Active Directory'!B62,"OK")+COUNTIF('Active Directory'!B63,"OK")+COUNTIF('Active Directory'!B64,"OK")+COUNTIF('Active Directory'!B65,"OK")+COUNTIF('Active Directory'!B66,"OK")+COUNTIF('Active Directory'!B67,"OK")+COUNTIF('Active Directory'!B68,"OK")</f>
        <v>0</v>
      </c>
      <c r="D40" s="8" t="n">
        <f aca="false">COUNTIF('Active Directory'!B55,"Finding")+COUNTIF('Active Directory'!B56,"Finding")+COUNTIF('Active Directory'!B57,"Finding")+COUNTIF('Active Directory'!B58,"Finding")+COUNTIF('Active Directory'!B59,"Finding")+COUNTIF('Active Directory'!B60,"Finding")+COUNTIF('Active Directory'!B61,"Finding")+COUNTIF('Active Directory'!B62,"Finding")+COUNTIF('Active Directory'!B63,"Finding")+COUNTIF('Active Directory'!B64,"Finding")+COUNTIF('Active Directory'!B65,"Finding")+COUNTIF('Active Directory'!B66,"Finding")+COUNTIF('Active Directory'!B67,"Finding")+COUNTIF('Active Directory'!B68,"Finding")</f>
        <v>0</v>
      </c>
      <c r="E40" s="8" t="n">
        <f aca="false">COUNTIF('Active Directory'!B55,"Investigate")+COUNTIF('Active Directory'!B56,"Investigate")+COUNTIF('Active Directory'!B57,"Investigate")+COUNTIF('Active Directory'!B58,"Investigate")+COUNTIF('Active Directory'!B59,"Investigate")+COUNTIF('Active Directory'!B60,"Investigate")+COUNTIF('Active Directory'!B61,"Investigate")+COUNTIF('Active Directory'!B62,"Investigate")+COUNTIF('Active Directory'!B63,"Investigate")+COUNTIF('Active Directory'!B64,"Investigate")+COUNTIF('Active Directory'!B65,"Investigate")+COUNTIF('Active Directory'!B66,"Investigate")+COUNTIF('Active Directory'!B67,"Investigate")+COUNTIF('Active Directory'!B68,"Investigate")</f>
        <v>0</v>
      </c>
      <c r="F40" s="9"/>
    </row>
    <row r="41" customFormat="false" ht="18" hidden="false" customHeight="true" outlineLevel="0" collapsed="false">
      <c r="A41" s="7" t="s">
        <v>42</v>
      </c>
      <c r="B41" s="8" t="n">
        <v>10</v>
      </c>
      <c r="C41" s="8" t="n">
        <f aca="false">COUNTIF('Active Directory'!B71,"OK")+COUNTIF('Active Directory'!B72,"OK")+COUNTIF('Active Directory'!B73,"OK")+COUNTIF('Active Directory'!B74,"OK")+COUNTIF('Active Directory'!B75,"OK")+COUNTIF('Active Directory'!B76,"OK")+COUNTIF('Active Directory'!B77,"OK")+COUNTIF('Active Directory'!B78,"OK")+COUNTIF('Active Directory'!B79,"OK")+COUNTIF('Active Directory'!B80,"OK")</f>
        <v>0</v>
      </c>
      <c r="D41" s="8" t="n">
        <f aca="false">COUNTIF('Active Directory'!B71,"Finding")+COUNTIF('Active Directory'!B72,"Finding")+COUNTIF('Active Directory'!B73,"Finding")+COUNTIF('Active Directory'!B74,"Finding")+COUNTIF('Active Directory'!B75,"Finding")+COUNTIF('Active Directory'!B76,"Finding")+COUNTIF('Active Directory'!B77,"Finding")+COUNTIF('Active Directory'!B78,"Finding")+COUNTIF('Active Directory'!B79,"Finding")+COUNTIF('Active Directory'!B80,"Finding")</f>
        <v>0</v>
      </c>
      <c r="E41" s="8" t="n">
        <f aca="false">COUNTIF('Active Directory'!B71,"Investigate")+COUNTIF('Active Directory'!B72,"Investigate")+COUNTIF('Active Directory'!B73,"Investigate")+COUNTIF('Active Directory'!B74,"Investigate")+COUNTIF('Active Directory'!B75,"Investigate")+COUNTIF('Active Directory'!B76,"Investigate")+COUNTIF('Active Directory'!B77,"Investigate")+COUNTIF('Active Directory'!B78,"Investigate")+COUNTIF('Active Directory'!B79,"Investigate")+COUNTIF('Active Directory'!B80,"Investigate")</f>
        <v>0</v>
      </c>
      <c r="F41" s="9"/>
    </row>
    <row r="42" customFormat="false" ht="18" hidden="false" customHeight="true" outlineLevel="0" collapsed="false">
      <c r="A42" s="7" t="s">
        <v>43</v>
      </c>
      <c r="B42" s="8" t="n">
        <v>14</v>
      </c>
      <c r="C42" s="8" t="n">
        <f aca="false">COUNTIF('Active Directory'!B83,"OK")+COUNTIF('Active Directory'!B84,"OK")+COUNTIF('Active Directory'!B85,"OK")+COUNTIF('Active Directory'!B86,"OK")+COUNTIF('Active Directory'!B87,"OK")+COUNTIF('Active Directory'!B88,"OK")+COUNTIF('Active Directory'!B89,"OK")+COUNTIF('Active Directory'!B90,"OK")+COUNTIF('Active Directory'!B91,"OK")+COUNTIF('Active Directory'!B92,"OK")+COUNTIF('Active Directory'!B93,"OK")+COUNTIF('Active Directory'!B94,"OK")+COUNTIF('Active Directory'!B95,"OK")+COUNTIF('Active Directory'!B96,"OK")</f>
        <v>0</v>
      </c>
      <c r="D42" s="8" t="n">
        <f aca="false">COUNTIF('Active Directory'!B83,"Finding")+COUNTIF('Active Directory'!B84,"Finding")+COUNTIF('Active Directory'!B85,"Finding")+COUNTIF('Active Directory'!B86,"Finding")+COUNTIF('Active Directory'!B87,"Finding")+COUNTIF('Active Directory'!B88,"Finding")+COUNTIF('Active Directory'!B89,"Finding")+COUNTIF('Active Directory'!B90,"Finding")+COUNTIF('Active Directory'!B91,"Finding")+COUNTIF('Active Directory'!B92,"Finding")+COUNTIF('Active Directory'!B93,"Finding")+COUNTIF('Active Directory'!B94,"Finding")+COUNTIF('Active Directory'!B95,"Finding")+COUNTIF('Active Directory'!B96,"Finding")</f>
        <v>0</v>
      </c>
      <c r="E42" s="8" t="n">
        <f aca="false">COUNTIF('Active Directory'!B83,"Investigate")+COUNTIF('Active Directory'!B84,"Investigate")+COUNTIF('Active Directory'!B85,"Investigate")+COUNTIF('Active Directory'!B86,"Investigate")+COUNTIF('Active Directory'!B87,"Investigate")+COUNTIF('Active Directory'!B88,"Investigate")+COUNTIF('Active Directory'!B89,"Investigate")+COUNTIF('Active Directory'!B90,"Investigate")+COUNTIF('Active Directory'!B91,"Investigate")+COUNTIF('Active Directory'!B92,"Investigate")+COUNTIF('Active Directory'!B93,"Investigate")+COUNTIF('Active Directory'!B94,"Investigate")+COUNTIF('Active Directory'!B95,"Investigate")+COUNTIF('Active Directory'!B96,"Investigate")</f>
        <v>0</v>
      </c>
      <c r="F42" s="9"/>
    </row>
    <row r="43" customFormat="false" ht="18" hidden="false" customHeight="true" outlineLevel="0" collapsed="false">
      <c r="A43" s="7" t="s">
        <v>44</v>
      </c>
      <c r="B43" s="8" t="n">
        <v>12</v>
      </c>
      <c r="C43" s="8" t="n">
        <f aca="false">COUNTIF('Active Directory'!B99,"OK")+COUNTIF('Active Directory'!B100,"OK")+COUNTIF('Active Directory'!B101,"OK")+COUNTIF('Active Directory'!B102,"OK")+COUNTIF('Active Directory'!B103,"OK")+COUNTIF('Active Directory'!B104,"OK")+COUNTIF('Active Directory'!B105,"OK")+COUNTIF('Active Directory'!B106,"OK")+COUNTIF('Active Directory'!B107,"OK")+COUNTIF('Active Directory'!B108,"OK")+COUNTIF('Active Directory'!B109,"OK")+COUNTIF('Active Directory'!B110,"OK")</f>
        <v>0</v>
      </c>
      <c r="D43" s="8" t="n">
        <f aca="false">COUNTIF('Active Directory'!B99,"Finding")+COUNTIF('Active Directory'!B100,"Finding")+COUNTIF('Active Directory'!B101,"Finding")+COUNTIF('Active Directory'!B102,"Finding")+COUNTIF('Active Directory'!B103,"Finding")+COUNTIF('Active Directory'!B104,"Finding")+COUNTIF('Active Directory'!B105,"Finding")+COUNTIF('Active Directory'!B106,"Finding")+COUNTIF('Active Directory'!B107,"Finding")+COUNTIF('Active Directory'!B108,"Finding")+COUNTIF('Active Directory'!B109,"Finding")+COUNTIF('Active Directory'!B110,"Finding")</f>
        <v>0</v>
      </c>
      <c r="E43" s="8" t="n">
        <f aca="false">COUNTIF('Active Directory'!B99,"Investigate")+COUNTIF('Active Directory'!B100,"Investigate")+COUNTIF('Active Directory'!B101,"Investigate")+COUNTIF('Active Directory'!B102,"Investigate")+COUNTIF('Active Directory'!B103,"Investigate")+COUNTIF('Active Directory'!B104,"Investigate")+COUNTIF('Active Directory'!B105,"Investigate")+COUNTIF('Active Directory'!B106,"Investigate")+COUNTIF('Active Directory'!B107,"Investigate")+COUNTIF('Active Directory'!B108,"Investigate")+COUNTIF('Active Directory'!B109,"Investigate")+COUNTIF('Active Directory'!B110,"Investigate")</f>
        <v>0</v>
      </c>
      <c r="F43" s="9"/>
    </row>
    <row r="44" customFormat="false" ht="18" hidden="false" customHeight="true" outlineLevel="0" collapsed="false">
      <c r="A44" s="7" t="s">
        <v>33</v>
      </c>
      <c r="B44" s="8" t="n">
        <v>10</v>
      </c>
      <c r="C44" s="8" t="n">
        <f aca="false">COUNTIF('Active Directory'!B113,"OK")+COUNTIF('Active Directory'!B114,"OK")+COUNTIF('Active Directory'!B115,"OK")+COUNTIF('Active Directory'!B116,"OK")+COUNTIF('Active Directory'!B117,"OK")+COUNTIF('Active Directory'!B118,"OK")+COUNTIF('Active Directory'!B119,"OK")+COUNTIF('Active Directory'!B120,"OK")+COUNTIF('Active Directory'!B121,"OK")+COUNTIF('Active Directory'!B122,"OK")</f>
        <v>0</v>
      </c>
      <c r="D44" s="8" t="n">
        <f aca="false">COUNTIF('Active Directory'!B113,"Finding")+COUNTIF('Active Directory'!B114,"Finding")+COUNTIF('Active Directory'!B115,"Finding")+COUNTIF('Active Directory'!B116,"Finding")+COUNTIF('Active Directory'!B117,"Finding")+COUNTIF('Active Directory'!B118,"Finding")+COUNTIF('Active Directory'!B119,"Finding")+COUNTIF('Active Directory'!B120,"Finding")+COUNTIF('Active Directory'!B121,"Finding")+COUNTIF('Active Directory'!B122,"Finding")</f>
        <v>0</v>
      </c>
      <c r="E44" s="8" t="n">
        <f aca="false">COUNTIF('Active Directory'!B113,"Investigate")+COUNTIF('Active Directory'!B114,"Investigate")+COUNTIF('Active Directory'!B115,"Investigate")+COUNTIF('Active Directory'!B116,"Investigate")+COUNTIF('Active Directory'!B117,"Investigate")+COUNTIF('Active Directory'!B118,"Investigate")+COUNTIF('Active Directory'!B119,"Investigate")+COUNTIF('Active Directory'!B120,"Investigate")+COUNTIF('Active Directory'!B121,"Investigate")+COUNTIF('Active Directory'!B122,"Investigate")</f>
        <v>0</v>
      </c>
      <c r="F44" s="9"/>
    </row>
    <row r="45" customFormat="false" ht="18" hidden="false" customHeight="true" outlineLevel="0" collapsed="false">
      <c r="A45" s="7" t="s">
        <v>45</v>
      </c>
      <c r="B45" s="8" t="n">
        <v>9</v>
      </c>
      <c r="C45" s="8" t="n">
        <f aca="false">COUNTIF('Active Directory'!B125,"OK")+COUNTIF('Active Directory'!B126,"OK")+COUNTIF('Active Directory'!B127,"OK")+COUNTIF('Active Directory'!B128,"OK")+COUNTIF('Active Directory'!B129,"OK")+COUNTIF('Active Directory'!B130,"OK")+COUNTIF('Active Directory'!B131,"OK")+COUNTIF('Active Directory'!B132,"OK")+COUNTIF('Active Directory'!B133,"OK")</f>
        <v>0</v>
      </c>
      <c r="D45" s="8" t="n">
        <f aca="false">COUNTIF('Active Directory'!B125,"Finding")+COUNTIF('Active Directory'!B126,"Finding")+COUNTIF('Active Directory'!B127,"Finding")+COUNTIF('Active Directory'!B128,"Finding")+COUNTIF('Active Directory'!B129,"Finding")+COUNTIF('Active Directory'!B130,"Finding")+COUNTIF('Active Directory'!B131,"Finding")+COUNTIF('Active Directory'!B132,"Finding")+COUNTIF('Active Directory'!B133,"Finding")</f>
        <v>0</v>
      </c>
      <c r="E45" s="8" t="n">
        <f aca="false">COUNTIF('Active Directory'!B125,"Investigate")+COUNTIF('Active Directory'!B126,"Investigate")+COUNTIF('Active Directory'!B127,"Investigate")+COUNTIF('Active Directory'!B128,"Investigate")+COUNTIF('Active Directory'!B129,"Investigate")+COUNTIF('Active Directory'!B130,"Investigate")+COUNTIF('Active Directory'!B131,"Investigate")+COUNTIF('Active Directory'!B132,"Investigate")+COUNTIF('Active Directory'!B133,"Investigate")</f>
        <v>0</v>
      </c>
      <c r="F45" s="9"/>
    </row>
    <row r="46" customFormat="false" ht="18" hidden="false" customHeight="true" outlineLevel="0" collapsed="false">
      <c r="A46" s="7" t="s">
        <v>46</v>
      </c>
      <c r="B46" s="8" t="n">
        <v>8</v>
      </c>
      <c r="C46" s="8" t="n">
        <f aca="false">COUNTIF('Active Directory'!B136,"OK")+COUNTIF('Active Directory'!B137,"OK")+COUNTIF('Active Directory'!B138,"OK")+COUNTIF('Active Directory'!B139,"OK")+COUNTIF('Active Directory'!B140,"OK")+COUNTIF('Active Directory'!B141,"OK")+COUNTIF('Active Directory'!B142,"OK")+COUNTIF('Active Directory'!B143,"OK")</f>
        <v>0</v>
      </c>
      <c r="D46" s="8" t="n">
        <f aca="false">COUNTIF('Active Directory'!B136,"Finding")+COUNTIF('Active Directory'!B137,"Finding")+COUNTIF('Active Directory'!B138,"Finding")+COUNTIF('Active Directory'!B139,"Finding")+COUNTIF('Active Directory'!B140,"Finding")+COUNTIF('Active Directory'!B141,"Finding")+COUNTIF('Active Directory'!B142,"Finding")+COUNTIF('Active Directory'!B143,"Finding")</f>
        <v>0</v>
      </c>
      <c r="E46" s="8" t="n">
        <f aca="false">COUNTIF('Active Directory'!B136,"Investigate")+COUNTIF('Active Directory'!B137,"Investigate")+COUNTIF('Active Directory'!B138,"Investigate")+COUNTIF('Active Directory'!B139,"Investigate")+COUNTIF('Active Directory'!B140,"Investigate")+COUNTIF('Active Directory'!B141,"Investigate")+COUNTIF('Active Directory'!B142,"Investigate")+COUNTIF('Active Directory'!B143,"Investigate")</f>
        <v>0</v>
      </c>
      <c r="F46" s="9"/>
    </row>
    <row r="47" customFormat="false" ht="18" hidden="false" customHeight="true" outlineLevel="0" collapsed="false">
      <c r="A47" s="7" t="s">
        <v>47</v>
      </c>
      <c r="B47" s="8" t="n">
        <v>7</v>
      </c>
      <c r="C47" s="8" t="n">
        <f aca="false">COUNTIF('Active Directory'!B146,"OK")+COUNTIF('Active Directory'!B147,"OK")+COUNTIF('Active Directory'!B148,"OK")+COUNTIF('Active Directory'!B149,"OK")+COUNTIF('Active Directory'!B150,"OK")+COUNTIF('Active Directory'!B151,"OK")+COUNTIF('Active Directory'!B152,"OK")</f>
        <v>0</v>
      </c>
      <c r="D47" s="8" t="n">
        <f aca="false">COUNTIF('Active Directory'!B146,"Finding")+COUNTIF('Active Directory'!B147,"Finding")+COUNTIF('Active Directory'!B148,"Finding")+COUNTIF('Active Directory'!B149,"Finding")+COUNTIF('Active Directory'!B150,"Finding")+COUNTIF('Active Directory'!B151,"Finding")+COUNTIF('Active Directory'!B152,"Finding")</f>
        <v>0</v>
      </c>
      <c r="E47" s="8" t="n">
        <f aca="false">COUNTIF('Active Directory'!B146,"Investigate")+COUNTIF('Active Directory'!B147,"Investigate")+COUNTIF('Active Directory'!B148,"Investigate")+COUNTIF('Active Directory'!B149,"Investigate")+COUNTIF('Active Directory'!B150,"Investigate")+COUNTIF('Active Directory'!B151,"Investigate")+COUNTIF('Active Directory'!B152,"Investigate")</f>
        <v>0</v>
      </c>
      <c r="F47" s="9"/>
    </row>
    <row r="48" customFormat="false" ht="18" hidden="false" customHeight="true" outlineLevel="0" collapsed="false">
      <c r="A48" s="7" t="s">
        <v>48</v>
      </c>
      <c r="B48" s="8" t="n">
        <v>0</v>
      </c>
      <c r="C48" s="8" t="n">
        <v>0</v>
      </c>
      <c r="D48" s="8" t="n">
        <v>0</v>
      </c>
      <c r="E48" s="8" t="n">
        <v>0</v>
      </c>
      <c r="F48" s="9"/>
    </row>
    <row r="49" customFormat="false" ht="6" hidden="false" customHeight="true" outlineLevel="0" collapsed="false">
      <c r="A49" s="10"/>
      <c r="B49" s="10"/>
      <c r="C49" s="10"/>
      <c r="D49" s="10"/>
      <c r="E49" s="10"/>
      <c r="F49" s="10"/>
    </row>
    <row r="50" customFormat="false" ht="24" hidden="false" customHeight="true" outlineLevel="0" collapsed="false">
      <c r="A50" s="11" t="s">
        <v>49</v>
      </c>
      <c r="B50" s="12" t="n">
        <f aca="false">B3+B21+B35</f>
        <v>476</v>
      </c>
      <c r="C50" s="12" t="n">
        <f aca="false">C3+C21+C35</f>
        <v>0</v>
      </c>
      <c r="D50" s="12" t="n">
        <f aca="false">D3+D21+D35</f>
        <v>0</v>
      </c>
      <c r="E50" s="12" t="n">
        <f aca="false">E3+E21+E35</f>
        <v>0</v>
      </c>
      <c r="F50" s="2"/>
    </row>
    <row r="52" customFormat="false" ht="15" hidden="false" customHeight="false" outlineLevel="0" collapsed="false">
      <c r="H52" s="0" t="s">
        <v>3</v>
      </c>
      <c r="I52" s="0" t="n">
        <f aca="false">C50</f>
        <v>0</v>
      </c>
    </row>
    <row r="53" customFormat="false" ht="15" hidden="false" customHeight="false" outlineLevel="0" collapsed="false">
      <c r="H53" s="0" t="s">
        <v>4</v>
      </c>
      <c r="I53" s="0" t="n">
        <f aca="false">D50</f>
        <v>0</v>
      </c>
    </row>
    <row r="54" customFormat="false" ht="15" hidden="false" customHeight="false" outlineLevel="0" collapsed="false">
      <c r="H54" s="0" t="s">
        <v>5</v>
      </c>
      <c r="I54" s="0" t="n">
        <f aca="false">E50</f>
        <v>0</v>
      </c>
    </row>
    <row r="55" customFormat="false" ht="15" hidden="false" customHeight="false" outlineLevel="0" collapsed="false">
      <c r="H55" s="0" t="s">
        <v>50</v>
      </c>
      <c r="I55" s="0" t="n">
        <f aca="false">MAX(0,B50-C50-D50-E50)</f>
        <v>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8A6FF"/>
    <pageSetUpPr fitToPage="false"/>
  </sheetPr>
  <dimension ref="A1:B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6"/>
    <col collapsed="false" customWidth="true" hidden="false" outlineLevel="0" max="3" min="3" style="0" width="4"/>
  </cols>
  <sheetData>
    <row r="1" customFormat="false" ht="31.5" hidden="false" customHeight="true" outlineLevel="0" collapsed="false">
      <c r="A1" s="13" t="s">
        <v>51</v>
      </c>
      <c r="B1" s="12" t="s">
        <v>52</v>
      </c>
    </row>
    <row r="2" customFormat="false" ht="24" hidden="false" customHeight="true" outlineLevel="0" collapsed="false">
      <c r="A2" s="6" t="s">
        <v>53</v>
      </c>
      <c r="B2" s="14"/>
    </row>
    <row r="3" customFormat="false" ht="19.5" hidden="false" customHeight="true" outlineLevel="0" collapsed="false">
      <c r="A3" s="15" t="s">
        <v>54</v>
      </c>
      <c r="B3" s="8"/>
    </row>
    <row r="4" customFormat="false" ht="19.5" hidden="false" customHeight="true" outlineLevel="0" collapsed="false">
      <c r="A4" s="15" t="s">
        <v>55</v>
      </c>
      <c r="B4" s="8"/>
    </row>
    <row r="5" customFormat="false" ht="19.5" hidden="false" customHeight="true" outlineLevel="0" collapsed="false">
      <c r="A5" s="15" t="s">
        <v>56</v>
      </c>
      <c r="B5" s="8"/>
    </row>
    <row r="6" customFormat="false" ht="19.5" hidden="false" customHeight="true" outlineLevel="0" collapsed="false">
      <c r="A6" s="15" t="s">
        <v>57</v>
      </c>
      <c r="B6" s="8"/>
    </row>
    <row r="7" customFormat="false" ht="19.5" hidden="false" customHeight="true" outlineLevel="0" collapsed="false">
      <c r="A7" s="15" t="s">
        <v>58</v>
      </c>
      <c r="B7" s="8"/>
    </row>
    <row r="8" customFormat="false" ht="19.5" hidden="false" customHeight="true" outlineLevel="0" collapsed="false">
      <c r="A8" s="15" t="s">
        <v>59</v>
      </c>
      <c r="B8" s="8"/>
    </row>
    <row r="9" customFormat="false" ht="19.5" hidden="false" customHeight="true" outlineLevel="0" collapsed="false">
      <c r="A9" s="15" t="s">
        <v>60</v>
      </c>
      <c r="B9" s="8"/>
    </row>
    <row r="10" customFormat="false" ht="19.5" hidden="false" customHeight="true" outlineLevel="0" collapsed="false">
      <c r="A10" s="15" t="s">
        <v>61</v>
      </c>
      <c r="B10" s="8"/>
    </row>
    <row r="11" customFormat="false" ht="19.5" hidden="false" customHeight="true" outlineLevel="0" collapsed="false">
      <c r="A11" s="15" t="s">
        <v>62</v>
      </c>
      <c r="B11" s="8"/>
    </row>
    <row r="12" customFormat="false" ht="19.5" hidden="false" customHeight="true" outlineLevel="0" collapsed="false">
      <c r="A12" s="15" t="s">
        <v>63</v>
      </c>
      <c r="B12" s="8"/>
    </row>
    <row r="13" customFormat="false" ht="19.5" hidden="false" customHeight="true" outlineLevel="0" collapsed="false">
      <c r="A13" s="15" t="s">
        <v>64</v>
      </c>
      <c r="B13" s="8"/>
    </row>
    <row r="14" customFormat="false" ht="19.5" hidden="false" customHeight="true" outlineLevel="0" collapsed="false">
      <c r="A14" s="15" t="s">
        <v>65</v>
      </c>
      <c r="B14" s="8"/>
    </row>
    <row r="15" customFormat="false" ht="19.5" hidden="false" customHeight="true" outlineLevel="0" collapsed="false">
      <c r="A15" s="15" t="s">
        <v>66</v>
      </c>
      <c r="B15" s="8"/>
    </row>
    <row r="16" customFormat="false" ht="19.5" hidden="false" customHeight="true" outlineLevel="0" collapsed="false">
      <c r="A16" s="15" t="s">
        <v>67</v>
      </c>
      <c r="B16" s="8"/>
    </row>
    <row r="17" customFormat="false" ht="19.5" hidden="false" customHeight="true" outlineLevel="0" collapsed="false">
      <c r="A17" s="15" t="s">
        <v>68</v>
      </c>
      <c r="B17" s="8"/>
    </row>
    <row r="18" customFormat="false" ht="7.5" hidden="false" customHeight="true" outlineLevel="0" collapsed="false">
      <c r="A18" s="16"/>
      <c r="B18" s="16"/>
    </row>
    <row r="19" customFormat="false" ht="24" hidden="false" customHeight="true" outlineLevel="0" collapsed="false">
      <c r="A19" s="6" t="s">
        <v>69</v>
      </c>
      <c r="B19" s="14"/>
    </row>
    <row r="20" customFormat="false" ht="19.5" hidden="false" customHeight="true" outlineLevel="0" collapsed="false">
      <c r="A20" s="15" t="s">
        <v>70</v>
      </c>
      <c r="B20" s="8"/>
    </row>
    <row r="21" customFormat="false" ht="19.5" hidden="false" customHeight="true" outlineLevel="0" collapsed="false">
      <c r="A21" s="15" t="s">
        <v>71</v>
      </c>
      <c r="B21" s="8"/>
    </row>
    <row r="22" customFormat="false" ht="19.5" hidden="false" customHeight="true" outlineLevel="0" collapsed="false">
      <c r="A22" s="15" t="s">
        <v>72</v>
      </c>
      <c r="B22" s="8"/>
    </row>
    <row r="23" customFormat="false" ht="19.5" hidden="false" customHeight="true" outlineLevel="0" collapsed="false">
      <c r="A23" s="15" t="s">
        <v>73</v>
      </c>
      <c r="B23" s="8"/>
    </row>
    <row r="24" customFormat="false" ht="19.5" hidden="false" customHeight="true" outlineLevel="0" collapsed="false">
      <c r="A24" s="15" t="s">
        <v>74</v>
      </c>
      <c r="B24" s="8"/>
    </row>
    <row r="25" customFormat="false" ht="19.5" hidden="false" customHeight="true" outlineLevel="0" collapsed="false">
      <c r="A25" s="15" t="s">
        <v>75</v>
      </c>
      <c r="B25" s="8"/>
    </row>
    <row r="26" customFormat="false" ht="19.5" hidden="false" customHeight="true" outlineLevel="0" collapsed="false">
      <c r="A26" s="15" t="s">
        <v>76</v>
      </c>
      <c r="B26" s="8"/>
    </row>
    <row r="27" customFormat="false" ht="19.5" hidden="false" customHeight="true" outlineLevel="0" collapsed="false">
      <c r="A27" s="15" t="s">
        <v>77</v>
      </c>
      <c r="B27" s="8"/>
    </row>
    <row r="28" customFormat="false" ht="7.5" hidden="false" customHeight="true" outlineLevel="0" collapsed="false">
      <c r="A28" s="16"/>
      <c r="B28" s="16"/>
    </row>
    <row r="29" customFormat="false" ht="24" hidden="false" customHeight="true" outlineLevel="0" collapsed="false">
      <c r="A29" s="6" t="s">
        <v>78</v>
      </c>
      <c r="B29" s="14"/>
    </row>
    <row r="30" customFormat="false" ht="19.5" hidden="false" customHeight="true" outlineLevel="0" collapsed="false">
      <c r="A30" s="15" t="s">
        <v>79</v>
      </c>
      <c r="B30" s="8"/>
    </row>
    <row r="31" customFormat="false" ht="19.5" hidden="false" customHeight="true" outlineLevel="0" collapsed="false">
      <c r="A31" s="15" t="s">
        <v>80</v>
      </c>
      <c r="B31" s="8"/>
    </row>
    <row r="32" customFormat="false" ht="19.5" hidden="false" customHeight="true" outlineLevel="0" collapsed="false">
      <c r="A32" s="15" t="s">
        <v>81</v>
      </c>
      <c r="B32" s="8"/>
    </row>
    <row r="33" customFormat="false" ht="19.5" hidden="false" customHeight="true" outlineLevel="0" collapsed="false">
      <c r="A33" s="15" t="s">
        <v>82</v>
      </c>
      <c r="B33" s="8"/>
    </row>
    <row r="34" customFormat="false" ht="19.5" hidden="false" customHeight="true" outlineLevel="0" collapsed="false">
      <c r="A34" s="15" t="s">
        <v>83</v>
      </c>
      <c r="B34" s="8"/>
    </row>
    <row r="35" customFormat="false" ht="19.5" hidden="false" customHeight="true" outlineLevel="0" collapsed="false">
      <c r="A35" s="15" t="s">
        <v>84</v>
      </c>
      <c r="B35" s="8"/>
    </row>
    <row r="36" customFormat="false" ht="19.5" hidden="false" customHeight="true" outlineLevel="0" collapsed="false">
      <c r="A36" s="15" t="s">
        <v>85</v>
      </c>
      <c r="B36" s="8"/>
    </row>
    <row r="37" customFormat="false" ht="19.5" hidden="false" customHeight="true" outlineLevel="0" collapsed="false">
      <c r="A37" s="15" t="s">
        <v>86</v>
      </c>
      <c r="B37" s="8"/>
    </row>
    <row r="38" customFormat="false" ht="19.5" hidden="false" customHeight="true" outlineLevel="0" collapsed="false">
      <c r="A38" s="15" t="s">
        <v>87</v>
      </c>
      <c r="B38" s="8"/>
    </row>
    <row r="39" customFormat="false" ht="19.5" hidden="false" customHeight="true" outlineLevel="0" collapsed="false">
      <c r="A39" s="15" t="s">
        <v>88</v>
      </c>
      <c r="B39" s="8"/>
    </row>
    <row r="40" customFormat="false" ht="19.5" hidden="false" customHeight="true" outlineLevel="0" collapsed="false">
      <c r="A40" s="15" t="s">
        <v>89</v>
      </c>
      <c r="B40" s="8"/>
    </row>
    <row r="41" customFormat="false" ht="19.5" hidden="false" customHeight="true" outlineLevel="0" collapsed="false">
      <c r="A41" s="15" t="s">
        <v>90</v>
      </c>
      <c r="B41" s="8"/>
    </row>
    <row r="42" customFormat="false" ht="19.5" hidden="false" customHeight="true" outlineLevel="0" collapsed="false">
      <c r="A42" s="15" t="s">
        <v>91</v>
      </c>
      <c r="B42" s="8"/>
    </row>
    <row r="43" customFormat="false" ht="19.5" hidden="false" customHeight="true" outlineLevel="0" collapsed="false">
      <c r="A43" s="15" t="s">
        <v>92</v>
      </c>
      <c r="B43" s="8"/>
    </row>
    <row r="44" customFormat="false" ht="19.5" hidden="false" customHeight="true" outlineLevel="0" collapsed="false">
      <c r="A44" s="15" t="s">
        <v>93</v>
      </c>
      <c r="B44" s="8"/>
    </row>
    <row r="45" customFormat="false" ht="19.5" hidden="false" customHeight="true" outlineLevel="0" collapsed="false">
      <c r="A45" s="15" t="s">
        <v>94</v>
      </c>
      <c r="B45" s="8"/>
    </row>
    <row r="46" customFormat="false" ht="19.5" hidden="false" customHeight="true" outlineLevel="0" collapsed="false">
      <c r="A46" s="15" t="s">
        <v>95</v>
      </c>
      <c r="B46" s="8"/>
    </row>
    <row r="47" customFormat="false" ht="19.5" hidden="false" customHeight="true" outlineLevel="0" collapsed="false">
      <c r="A47" s="15" t="s">
        <v>96</v>
      </c>
      <c r="B47" s="8"/>
    </row>
    <row r="48" customFormat="false" ht="19.5" hidden="false" customHeight="true" outlineLevel="0" collapsed="false">
      <c r="A48" s="15" t="s">
        <v>97</v>
      </c>
      <c r="B48" s="8"/>
    </row>
    <row r="49" customFormat="false" ht="19.5" hidden="false" customHeight="true" outlineLevel="0" collapsed="false">
      <c r="A49" s="15" t="s">
        <v>98</v>
      </c>
      <c r="B49" s="8"/>
    </row>
    <row r="50" customFormat="false" ht="7.5" hidden="false" customHeight="true" outlineLevel="0" collapsed="false">
      <c r="A50" s="16"/>
      <c r="B50" s="16"/>
    </row>
    <row r="51" customFormat="false" ht="24" hidden="false" customHeight="true" outlineLevel="0" collapsed="false">
      <c r="A51" s="6" t="s">
        <v>99</v>
      </c>
      <c r="B51" s="14"/>
    </row>
    <row r="52" customFormat="false" ht="19.5" hidden="false" customHeight="true" outlineLevel="0" collapsed="false">
      <c r="A52" s="15" t="s">
        <v>100</v>
      </c>
      <c r="B52" s="8"/>
    </row>
    <row r="53" customFormat="false" ht="19.5" hidden="false" customHeight="true" outlineLevel="0" collapsed="false">
      <c r="A53" s="15" t="s">
        <v>101</v>
      </c>
      <c r="B53" s="8"/>
    </row>
    <row r="54" customFormat="false" ht="19.5" hidden="false" customHeight="true" outlineLevel="0" collapsed="false">
      <c r="A54" s="15" t="s">
        <v>102</v>
      </c>
      <c r="B54" s="8"/>
    </row>
    <row r="55" customFormat="false" ht="19.5" hidden="false" customHeight="true" outlineLevel="0" collapsed="false">
      <c r="A55" s="15" t="s">
        <v>103</v>
      </c>
      <c r="B55" s="8"/>
    </row>
    <row r="56" customFormat="false" ht="19.5" hidden="false" customHeight="true" outlineLevel="0" collapsed="false">
      <c r="A56" s="15" t="s">
        <v>104</v>
      </c>
      <c r="B56" s="8"/>
    </row>
    <row r="57" customFormat="false" ht="19.5" hidden="false" customHeight="true" outlineLevel="0" collapsed="false">
      <c r="A57" s="15" t="s">
        <v>105</v>
      </c>
      <c r="B57" s="8"/>
    </row>
    <row r="58" customFormat="false" ht="19.5" hidden="false" customHeight="true" outlineLevel="0" collapsed="false">
      <c r="A58" s="15" t="s">
        <v>106</v>
      </c>
      <c r="B58" s="8"/>
    </row>
    <row r="59" customFormat="false" ht="19.5" hidden="false" customHeight="true" outlineLevel="0" collapsed="false">
      <c r="A59" s="15" t="s">
        <v>107</v>
      </c>
      <c r="B59" s="8"/>
    </row>
    <row r="60" customFormat="false" ht="19.5" hidden="false" customHeight="true" outlineLevel="0" collapsed="false">
      <c r="A60" s="15" t="s">
        <v>108</v>
      </c>
      <c r="B60" s="8"/>
    </row>
    <row r="61" customFormat="false" ht="19.5" hidden="false" customHeight="true" outlineLevel="0" collapsed="false">
      <c r="A61" s="15" t="s">
        <v>109</v>
      </c>
      <c r="B61" s="8"/>
    </row>
    <row r="62" customFormat="false" ht="19.5" hidden="false" customHeight="true" outlineLevel="0" collapsed="false">
      <c r="A62" s="15" t="s">
        <v>110</v>
      </c>
      <c r="B62" s="8"/>
    </row>
    <row r="63" customFormat="false" ht="19.5" hidden="false" customHeight="true" outlineLevel="0" collapsed="false">
      <c r="A63" s="15" t="s">
        <v>111</v>
      </c>
      <c r="B63" s="8"/>
    </row>
    <row r="64" customFormat="false" ht="19.5" hidden="false" customHeight="true" outlineLevel="0" collapsed="false">
      <c r="A64" s="15" t="s">
        <v>112</v>
      </c>
      <c r="B64" s="8"/>
    </row>
    <row r="65" customFormat="false" ht="7.5" hidden="false" customHeight="true" outlineLevel="0" collapsed="false">
      <c r="A65" s="16"/>
      <c r="B65" s="16"/>
    </row>
    <row r="66" customFormat="false" ht="24" hidden="false" customHeight="true" outlineLevel="0" collapsed="false">
      <c r="A66" s="6" t="s">
        <v>113</v>
      </c>
      <c r="B66" s="14"/>
    </row>
    <row r="67" customFormat="false" ht="19.5" hidden="false" customHeight="true" outlineLevel="0" collapsed="false">
      <c r="A67" s="15" t="s">
        <v>114</v>
      </c>
      <c r="B67" s="8"/>
    </row>
    <row r="68" customFormat="false" ht="19.5" hidden="false" customHeight="true" outlineLevel="0" collapsed="false">
      <c r="A68" s="15" t="s">
        <v>115</v>
      </c>
      <c r="B68" s="8"/>
    </row>
    <row r="69" customFormat="false" ht="19.5" hidden="false" customHeight="true" outlineLevel="0" collapsed="false">
      <c r="A69" s="15" t="s">
        <v>116</v>
      </c>
      <c r="B69" s="8"/>
    </row>
    <row r="70" customFormat="false" ht="19.5" hidden="false" customHeight="true" outlineLevel="0" collapsed="false">
      <c r="A70" s="15" t="s">
        <v>117</v>
      </c>
      <c r="B70" s="8"/>
    </row>
    <row r="71" customFormat="false" ht="19.5" hidden="false" customHeight="true" outlineLevel="0" collapsed="false">
      <c r="A71" s="15" t="s">
        <v>118</v>
      </c>
      <c r="B71" s="8"/>
    </row>
    <row r="72" customFormat="false" ht="19.5" hidden="false" customHeight="true" outlineLevel="0" collapsed="false">
      <c r="A72" s="15" t="s">
        <v>119</v>
      </c>
      <c r="B72" s="8"/>
    </row>
    <row r="73" customFormat="false" ht="19.5" hidden="false" customHeight="true" outlineLevel="0" collapsed="false">
      <c r="A73" s="15" t="s">
        <v>120</v>
      </c>
      <c r="B73" s="8"/>
    </row>
    <row r="74" customFormat="false" ht="19.5" hidden="false" customHeight="true" outlineLevel="0" collapsed="false">
      <c r="A74" s="15" t="s">
        <v>121</v>
      </c>
      <c r="B74" s="8"/>
    </row>
    <row r="75" customFormat="false" ht="19.5" hidden="false" customHeight="true" outlineLevel="0" collapsed="false">
      <c r="A75" s="15" t="s">
        <v>122</v>
      </c>
      <c r="B75" s="8"/>
    </row>
    <row r="76" customFormat="false" ht="19.5" hidden="false" customHeight="true" outlineLevel="0" collapsed="false">
      <c r="A76" s="15" t="s">
        <v>123</v>
      </c>
      <c r="B76" s="8"/>
    </row>
    <row r="77" customFormat="false" ht="19.5" hidden="false" customHeight="true" outlineLevel="0" collapsed="false">
      <c r="A77" s="15" t="s">
        <v>124</v>
      </c>
      <c r="B77" s="8"/>
    </row>
    <row r="78" customFormat="false" ht="19.5" hidden="false" customHeight="true" outlineLevel="0" collapsed="false">
      <c r="A78" s="15" t="s">
        <v>125</v>
      </c>
      <c r="B78" s="8"/>
    </row>
    <row r="79" customFormat="false" ht="7.5" hidden="false" customHeight="true" outlineLevel="0" collapsed="false">
      <c r="A79" s="16"/>
      <c r="B79" s="16"/>
    </row>
    <row r="80" customFormat="false" ht="24" hidden="false" customHeight="true" outlineLevel="0" collapsed="false">
      <c r="A80" s="6" t="s">
        <v>126</v>
      </c>
      <c r="B80" s="14"/>
    </row>
    <row r="81" customFormat="false" ht="19.5" hidden="false" customHeight="true" outlineLevel="0" collapsed="false">
      <c r="A81" s="15" t="s">
        <v>127</v>
      </c>
      <c r="B81" s="8"/>
    </row>
    <row r="82" customFormat="false" ht="19.5" hidden="false" customHeight="true" outlineLevel="0" collapsed="false">
      <c r="A82" s="15" t="s">
        <v>128</v>
      </c>
      <c r="B82" s="8"/>
    </row>
    <row r="83" customFormat="false" ht="19.5" hidden="false" customHeight="true" outlineLevel="0" collapsed="false">
      <c r="A83" s="15" t="s">
        <v>129</v>
      </c>
      <c r="B83" s="8"/>
    </row>
    <row r="84" customFormat="false" ht="19.5" hidden="false" customHeight="true" outlineLevel="0" collapsed="false">
      <c r="A84" s="15" t="s">
        <v>130</v>
      </c>
      <c r="B84" s="8"/>
    </row>
    <row r="85" customFormat="false" ht="19.5" hidden="false" customHeight="true" outlineLevel="0" collapsed="false">
      <c r="A85" s="15" t="s">
        <v>131</v>
      </c>
      <c r="B85" s="8"/>
    </row>
    <row r="86" customFormat="false" ht="19.5" hidden="false" customHeight="true" outlineLevel="0" collapsed="false">
      <c r="A86" s="15" t="s">
        <v>132</v>
      </c>
      <c r="B86" s="8"/>
    </row>
    <row r="87" customFormat="false" ht="19.5" hidden="false" customHeight="true" outlineLevel="0" collapsed="false">
      <c r="A87" s="15" t="s">
        <v>133</v>
      </c>
      <c r="B87" s="8"/>
    </row>
    <row r="88" customFormat="false" ht="19.5" hidden="false" customHeight="true" outlineLevel="0" collapsed="false">
      <c r="A88" s="15" t="s">
        <v>134</v>
      </c>
      <c r="B88" s="8"/>
    </row>
    <row r="89" customFormat="false" ht="19.5" hidden="false" customHeight="true" outlineLevel="0" collapsed="false">
      <c r="A89" s="15" t="s">
        <v>135</v>
      </c>
      <c r="B89" s="8"/>
    </row>
    <row r="90" customFormat="false" ht="19.5" hidden="false" customHeight="true" outlineLevel="0" collapsed="false">
      <c r="A90" s="15" t="s">
        <v>136</v>
      </c>
      <c r="B90" s="8"/>
    </row>
    <row r="91" customFormat="false" ht="19.5" hidden="false" customHeight="true" outlineLevel="0" collapsed="false">
      <c r="A91" s="15" t="s">
        <v>137</v>
      </c>
      <c r="B91" s="8"/>
    </row>
    <row r="92" customFormat="false" ht="19.5" hidden="false" customHeight="true" outlineLevel="0" collapsed="false">
      <c r="A92" s="15" t="s">
        <v>138</v>
      </c>
      <c r="B92" s="8"/>
    </row>
    <row r="93" customFormat="false" ht="19.5" hidden="false" customHeight="true" outlineLevel="0" collapsed="false">
      <c r="A93" s="15" t="s">
        <v>139</v>
      </c>
      <c r="B93" s="8"/>
    </row>
    <row r="94" customFormat="false" ht="19.5" hidden="false" customHeight="true" outlineLevel="0" collapsed="false">
      <c r="A94" s="15" t="s">
        <v>140</v>
      </c>
      <c r="B94" s="8"/>
    </row>
    <row r="95" customFormat="false" ht="19.5" hidden="false" customHeight="true" outlineLevel="0" collapsed="false">
      <c r="A95" s="15" t="s">
        <v>141</v>
      </c>
      <c r="B95" s="8"/>
    </row>
    <row r="96" customFormat="false" ht="19.5" hidden="false" customHeight="true" outlineLevel="0" collapsed="false">
      <c r="A96" s="15" t="s">
        <v>142</v>
      </c>
      <c r="B96" s="8"/>
    </row>
    <row r="97" customFormat="false" ht="19.5" hidden="false" customHeight="true" outlineLevel="0" collapsed="false">
      <c r="A97" s="15" t="s">
        <v>143</v>
      </c>
      <c r="B97" s="8"/>
    </row>
    <row r="98" customFormat="false" ht="19.5" hidden="false" customHeight="true" outlineLevel="0" collapsed="false">
      <c r="A98" s="15" t="s">
        <v>144</v>
      </c>
      <c r="B98" s="8"/>
    </row>
    <row r="99" customFormat="false" ht="19.5" hidden="false" customHeight="true" outlineLevel="0" collapsed="false">
      <c r="A99" s="15" t="s">
        <v>145</v>
      </c>
      <c r="B99" s="8"/>
    </row>
    <row r="100" customFormat="false" ht="19.5" hidden="false" customHeight="true" outlineLevel="0" collapsed="false">
      <c r="A100" s="15" t="s">
        <v>146</v>
      </c>
      <c r="B100" s="8"/>
    </row>
    <row r="101" customFormat="false" ht="19.5" hidden="false" customHeight="true" outlineLevel="0" collapsed="false">
      <c r="A101" s="15" t="s">
        <v>147</v>
      </c>
      <c r="B101" s="8"/>
    </row>
    <row r="102" customFormat="false" ht="19.5" hidden="false" customHeight="true" outlineLevel="0" collapsed="false">
      <c r="A102" s="15" t="s">
        <v>148</v>
      </c>
      <c r="B102" s="8"/>
    </row>
    <row r="103" customFormat="false" ht="19.5" hidden="false" customHeight="true" outlineLevel="0" collapsed="false">
      <c r="A103" s="15" t="s">
        <v>149</v>
      </c>
      <c r="B103" s="8"/>
    </row>
    <row r="104" customFormat="false" ht="19.5" hidden="false" customHeight="true" outlineLevel="0" collapsed="false">
      <c r="A104" s="15" t="s">
        <v>150</v>
      </c>
      <c r="B104" s="8"/>
    </row>
    <row r="105" customFormat="false" ht="19.5" hidden="false" customHeight="true" outlineLevel="0" collapsed="false">
      <c r="A105" s="15" t="s">
        <v>151</v>
      </c>
      <c r="B105" s="8"/>
    </row>
    <row r="106" customFormat="false" ht="19.5" hidden="false" customHeight="true" outlineLevel="0" collapsed="false">
      <c r="A106" s="15" t="s">
        <v>152</v>
      </c>
      <c r="B106" s="8"/>
    </row>
    <row r="107" customFormat="false" ht="19.5" hidden="false" customHeight="true" outlineLevel="0" collapsed="false">
      <c r="A107" s="15" t="s">
        <v>153</v>
      </c>
      <c r="B107" s="8"/>
    </row>
    <row r="108" customFormat="false" ht="19.5" hidden="false" customHeight="true" outlineLevel="0" collapsed="false">
      <c r="A108" s="15" t="s">
        <v>154</v>
      </c>
      <c r="B108" s="8"/>
    </row>
    <row r="109" customFormat="false" ht="19.5" hidden="false" customHeight="true" outlineLevel="0" collapsed="false">
      <c r="A109" s="15" t="s">
        <v>155</v>
      </c>
      <c r="B109" s="8"/>
    </row>
    <row r="110" customFormat="false" ht="7.5" hidden="false" customHeight="true" outlineLevel="0" collapsed="false">
      <c r="A110" s="16"/>
      <c r="B110" s="16"/>
    </row>
    <row r="111" customFormat="false" ht="24" hidden="false" customHeight="true" outlineLevel="0" collapsed="false">
      <c r="A111" s="6" t="s">
        <v>156</v>
      </c>
      <c r="B111" s="14"/>
    </row>
    <row r="112" customFormat="false" ht="19.5" hidden="false" customHeight="true" outlineLevel="0" collapsed="false">
      <c r="A112" s="15" t="s">
        <v>157</v>
      </c>
      <c r="B112" s="8"/>
    </row>
    <row r="113" customFormat="false" ht="19.5" hidden="false" customHeight="true" outlineLevel="0" collapsed="false">
      <c r="A113" s="15" t="s">
        <v>158</v>
      </c>
      <c r="B113" s="8"/>
    </row>
    <row r="114" customFormat="false" ht="19.5" hidden="false" customHeight="true" outlineLevel="0" collapsed="false">
      <c r="A114" s="15" t="s">
        <v>159</v>
      </c>
      <c r="B114" s="8"/>
    </row>
    <row r="115" customFormat="false" ht="19.5" hidden="false" customHeight="true" outlineLevel="0" collapsed="false">
      <c r="A115" s="15" t="s">
        <v>160</v>
      </c>
      <c r="B115" s="8"/>
    </row>
    <row r="116" customFormat="false" ht="19.5" hidden="false" customHeight="true" outlineLevel="0" collapsed="false">
      <c r="A116" s="15" t="s">
        <v>161</v>
      </c>
      <c r="B116" s="8"/>
    </row>
    <row r="117" customFormat="false" ht="19.5" hidden="false" customHeight="true" outlineLevel="0" collapsed="false">
      <c r="A117" s="15" t="s">
        <v>162</v>
      </c>
      <c r="B117" s="8"/>
    </row>
    <row r="118" customFormat="false" ht="19.5" hidden="false" customHeight="true" outlineLevel="0" collapsed="false">
      <c r="A118" s="15" t="s">
        <v>163</v>
      </c>
      <c r="B118" s="8"/>
    </row>
    <row r="119" customFormat="false" ht="19.5" hidden="false" customHeight="true" outlineLevel="0" collapsed="false">
      <c r="A119" s="15" t="s">
        <v>164</v>
      </c>
      <c r="B119" s="8"/>
    </row>
    <row r="120" customFormat="false" ht="19.5" hidden="false" customHeight="true" outlineLevel="0" collapsed="false">
      <c r="A120" s="15" t="s">
        <v>165</v>
      </c>
      <c r="B120" s="8"/>
    </row>
    <row r="121" customFormat="false" ht="19.5" hidden="false" customHeight="true" outlineLevel="0" collapsed="false">
      <c r="A121" s="15" t="s">
        <v>166</v>
      </c>
      <c r="B121" s="8"/>
    </row>
    <row r="122" customFormat="false" ht="7.5" hidden="false" customHeight="true" outlineLevel="0" collapsed="false">
      <c r="A122" s="16"/>
      <c r="B122" s="16"/>
    </row>
    <row r="123" customFormat="false" ht="24" hidden="false" customHeight="true" outlineLevel="0" collapsed="false">
      <c r="A123" s="6" t="s">
        <v>167</v>
      </c>
      <c r="B123" s="14"/>
    </row>
    <row r="124" customFormat="false" ht="19.5" hidden="false" customHeight="true" outlineLevel="0" collapsed="false">
      <c r="A124" s="15" t="s">
        <v>168</v>
      </c>
      <c r="B124" s="8"/>
    </row>
    <row r="125" customFormat="false" ht="19.5" hidden="false" customHeight="true" outlineLevel="0" collapsed="false">
      <c r="A125" s="15" t="s">
        <v>169</v>
      </c>
      <c r="B125" s="8"/>
    </row>
    <row r="126" customFormat="false" ht="19.5" hidden="false" customHeight="true" outlineLevel="0" collapsed="false">
      <c r="A126" s="15" t="s">
        <v>170</v>
      </c>
      <c r="B126" s="8"/>
    </row>
    <row r="127" customFormat="false" ht="19.5" hidden="false" customHeight="true" outlineLevel="0" collapsed="false">
      <c r="A127" s="15" t="s">
        <v>171</v>
      </c>
      <c r="B127" s="8"/>
    </row>
    <row r="128" customFormat="false" ht="19.5" hidden="false" customHeight="true" outlineLevel="0" collapsed="false">
      <c r="A128" s="15" t="s">
        <v>172</v>
      </c>
      <c r="B128" s="8"/>
    </row>
    <row r="129" customFormat="false" ht="19.5" hidden="false" customHeight="true" outlineLevel="0" collapsed="false">
      <c r="A129" s="15" t="s">
        <v>173</v>
      </c>
      <c r="B129" s="8"/>
    </row>
    <row r="130" customFormat="false" ht="19.5" hidden="false" customHeight="true" outlineLevel="0" collapsed="false">
      <c r="A130" s="15" t="s">
        <v>174</v>
      </c>
      <c r="B130" s="8"/>
    </row>
    <row r="131" customFormat="false" ht="7.5" hidden="false" customHeight="true" outlineLevel="0" collapsed="false">
      <c r="A131" s="16"/>
      <c r="B131" s="16"/>
    </row>
    <row r="132" customFormat="false" ht="24" hidden="false" customHeight="true" outlineLevel="0" collapsed="false">
      <c r="A132" s="6" t="s">
        <v>175</v>
      </c>
      <c r="B132" s="14"/>
    </row>
    <row r="133" customFormat="false" ht="19.5" hidden="false" customHeight="true" outlineLevel="0" collapsed="false">
      <c r="A133" s="15" t="s">
        <v>176</v>
      </c>
      <c r="B133" s="8"/>
    </row>
    <row r="134" customFormat="false" ht="19.5" hidden="false" customHeight="true" outlineLevel="0" collapsed="false">
      <c r="A134" s="15" t="s">
        <v>177</v>
      </c>
      <c r="B134" s="8"/>
    </row>
    <row r="135" customFormat="false" ht="19.5" hidden="false" customHeight="true" outlineLevel="0" collapsed="false">
      <c r="A135" s="15" t="s">
        <v>178</v>
      </c>
      <c r="B135" s="8"/>
    </row>
    <row r="136" customFormat="false" ht="19.5" hidden="false" customHeight="true" outlineLevel="0" collapsed="false">
      <c r="A136" s="15" t="s">
        <v>179</v>
      </c>
      <c r="B136" s="8"/>
    </row>
    <row r="137" customFormat="false" ht="19.5" hidden="false" customHeight="true" outlineLevel="0" collapsed="false">
      <c r="A137" s="15" t="s">
        <v>180</v>
      </c>
      <c r="B137" s="8"/>
    </row>
    <row r="138" customFormat="false" ht="19.5" hidden="false" customHeight="true" outlineLevel="0" collapsed="false">
      <c r="A138" s="15" t="s">
        <v>181</v>
      </c>
      <c r="B138" s="8"/>
    </row>
    <row r="139" customFormat="false" ht="19.5" hidden="false" customHeight="true" outlineLevel="0" collapsed="false">
      <c r="A139" s="15" t="s">
        <v>182</v>
      </c>
      <c r="B139" s="8"/>
    </row>
    <row r="140" customFormat="false" ht="7.5" hidden="false" customHeight="true" outlineLevel="0" collapsed="false">
      <c r="A140" s="16"/>
      <c r="B140" s="16"/>
    </row>
    <row r="141" customFormat="false" ht="24" hidden="false" customHeight="true" outlineLevel="0" collapsed="false">
      <c r="A141" s="6" t="s">
        <v>183</v>
      </c>
      <c r="B141" s="14"/>
    </row>
    <row r="142" customFormat="false" ht="19.5" hidden="false" customHeight="true" outlineLevel="0" collapsed="false">
      <c r="A142" s="15" t="s">
        <v>184</v>
      </c>
      <c r="B142" s="8"/>
    </row>
    <row r="143" customFormat="false" ht="19.5" hidden="false" customHeight="true" outlineLevel="0" collapsed="false">
      <c r="A143" s="15" t="s">
        <v>185</v>
      </c>
      <c r="B143" s="8"/>
    </row>
    <row r="144" customFormat="false" ht="19.5" hidden="false" customHeight="true" outlineLevel="0" collapsed="false">
      <c r="A144" s="15" t="s">
        <v>186</v>
      </c>
      <c r="B144" s="8"/>
    </row>
    <row r="145" customFormat="false" ht="19.5" hidden="false" customHeight="true" outlineLevel="0" collapsed="false">
      <c r="A145" s="15" t="s">
        <v>187</v>
      </c>
      <c r="B145" s="8"/>
    </row>
    <row r="146" customFormat="false" ht="19.5" hidden="false" customHeight="true" outlineLevel="0" collapsed="false">
      <c r="A146" s="15" t="s">
        <v>188</v>
      </c>
      <c r="B146" s="8"/>
    </row>
    <row r="147" customFormat="false" ht="19.5" hidden="false" customHeight="true" outlineLevel="0" collapsed="false">
      <c r="A147" s="15" t="s">
        <v>189</v>
      </c>
      <c r="B147" s="8"/>
    </row>
    <row r="148" customFormat="false" ht="19.5" hidden="false" customHeight="true" outlineLevel="0" collapsed="false">
      <c r="A148" s="15" t="s">
        <v>190</v>
      </c>
      <c r="B148" s="8"/>
    </row>
    <row r="149" customFormat="false" ht="19.5" hidden="false" customHeight="true" outlineLevel="0" collapsed="false">
      <c r="A149" s="15" t="s">
        <v>191</v>
      </c>
      <c r="B149" s="8"/>
    </row>
    <row r="150" customFormat="false" ht="19.5" hidden="false" customHeight="true" outlineLevel="0" collapsed="false">
      <c r="A150" s="15" t="s">
        <v>192</v>
      </c>
      <c r="B150" s="8"/>
    </row>
    <row r="151" customFormat="false" ht="7.5" hidden="false" customHeight="true" outlineLevel="0" collapsed="false">
      <c r="A151" s="16"/>
      <c r="B151" s="16"/>
    </row>
    <row r="152" customFormat="false" ht="24" hidden="false" customHeight="true" outlineLevel="0" collapsed="false">
      <c r="A152" s="6" t="s">
        <v>193</v>
      </c>
      <c r="B152" s="14"/>
    </row>
    <row r="153" customFormat="false" ht="19.5" hidden="false" customHeight="true" outlineLevel="0" collapsed="false">
      <c r="A153" s="15" t="s">
        <v>194</v>
      </c>
      <c r="B153" s="8"/>
    </row>
    <row r="154" customFormat="false" ht="19.5" hidden="false" customHeight="true" outlineLevel="0" collapsed="false">
      <c r="A154" s="15" t="s">
        <v>195</v>
      </c>
      <c r="B154" s="8"/>
    </row>
    <row r="155" customFormat="false" ht="19.5" hidden="false" customHeight="true" outlineLevel="0" collapsed="false">
      <c r="A155" s="15" t="s">
        <v>196</v>
      </c>
      <c r="B155" s="8"/>
    </row>
    <row r="156" customFormat="false" ht="19.5" hidden="false" customHeight="true" outlineLevel="0" collapsed="false">
      <c r="A156" s="15" t="s">
        <v>197</v>
      </c>
      <c r="B156" s="8"/>
    </row>
    <row r="157" customFormat="false" ht="19.5" hidden="false" customHeight="true" outlineLevel="0" collapsed="false">
      <c r="A157" s="15" t="s">
        <v>198</v>
      </c>
      <c r="B157" s="8"/>
    </row>
    <row r="158" customFormat="false" ht="19.5" hidden="false" customHeight="true" outlineLevel="0" collapsed="false">
      <c r="A158" s="15" t="s">
        <v>199</v>
      </c>
      <c r="B158" s="8"/>
    </row>
    <row r="159" customFormat="false" ht="19.5" hidden="false" customHeight="true" outlineLevel="0" collapsed="false">
      <c r="A159" s="15" t="s">
        <v>200</v>
      </c>
      <c r="B159" s="8"/>
    </row>
    <row r="160" customFormat="false" ht="19.5" hidden="false" customHeight="true" outlineLevel="0" collapsed="false">
      <c r="A160" s="15" t="s">
        <v>201</v>
      </c>
      <c r="B160" s="8"/>
    </row>
    <row r="161" customFormat="false" ht="19.5" hidden="false" customHeight="true" outlineLevel="0" collapsed="false">
      <c r="A161" s="15" t="s">
        <v>202</v>
      </c>
      <c r="B161" s="8"/>
    </row>
    <row r="162" customFormat="false" ht="19.5" hidden="false" customHeight="true" outlineLevel="0" collapsed="false">
      <c r="A162" s="15" t="s">
        <v>203</v>
      </c>
      <c r="B162" s="8"/>
    </row>
    <row r="163" customFormat="false" ht="7.5" hidden="false" customHeight="true" outlineLevel="0" collapsed="false">
      <c r="A163" s="16"/>
      <c r="B163" s="16"/>
    </row>
    <row r="164" customFormat="false" ht="24" hidden="false" customHeight="true" outlineLevel="0" collapsed="false">
      <c r="A164" s="6" t="s">
        <v>204</v>
      </c>
      <c r="B164" s="14"/>
    </row>
    <row r="165" customFormat="false" ht="19.5" hidden="false" customHeight="true" outlineLevel="0" collapsed="false">
      <c r="A165" s="15" t="s">
        <v>205</v>
      </c>
      <c r="B165" s="8"/>
    </row>
    <row r="166" customFormat="false" ht="19.5" hidden="false" customHeight="true" outlineLevel="0" collapsed="false">
      <c r="A166" s="15" t="s">
        <v>206</v>
      </c>
      <c r="B166" s="8"/>
    </row>
    <row r="167" customFormat="false" ht="19.5" hidden="false" customHeight="true" outlineLevel="0" collapsed="false">
      <c r="A167" s="15" t="s">
        <v>207</v>
      </c>
      <c r="B167" s="8"/>
    </row>
    <row r="168" customFormat="false" ht="19.5" hidden="false" customHeight="true" outlineLevel="0" collapsed="false">
      <c r="A168" s="15" t="s">
        <v>208</v>
      </c>
      <c r="B168" s="8"/>
    </row>
    <row r="169" customFormat="false" ht="19.5" hidden="false" customHeight="true" outlineLevel="0" collapsed="false">
      <c r="A169" s="15" t="s">
        <v>209</v>
      </c>
      <c r="B169" s="8"/>
    </row>
    <row r="170" customFormat="false" ht="19.5" hidden="false" customHeight="true" outlineLevel="0" collapsed="false">
      <c r="A170" s="15" t="s">
        <v>210</v>
      </c>
      <c r="B170" s="8"/>
    </row>
    <row r="171" customFormat="false" ht="19.5" hidden="false" customHeight="true" outlineLevel="0" collapsed="false">
      <c r="A171" s="15" t="s">
        <v>211</v>
      </c>
      <c r="B171" s="8"/>
    </row>
    <row r="172" customFormat="false" ht="7.5" hidden="false" customHeight="true" outlineLevel="0" collapsed="false">
      <c r="A172" s="16"/>
      <c r="B172" s="16"/>
    </row>
    <row r="173" customFormat="false" ht="24" hidden="false" customHeight="true" outlineLevel="0" collapsed="false">
      <c r="A173" s="6" t="s">
        <v>212</v>
      </c>
      <c r="B173" s="14"/>
    </row>
    <row r="174" customFormat="false" ht="19.5" hidden="false" customHeight="true" outlineLevel="0" collapsed="false">
      <c r="A174" s="15" t="s">
        <v>213</v>
      </c>
      <c r="B174" s="8"/>
    </row>
    <row r="175" customFormat="false" ht="19.5" hidden="false" customHeight="true" outlineLevel="0" collapsed="false">
      <c r="A175" s="15" t="s">
        <v>214</v>
      </c>
      <c r="B175" s="8"/>
    </row>
    <row r="176" customFormat="false" ht="19.5" hidden="false" customHeight="true" outlineLevel="0" collapsed="false">
      <c r="A176" s="15" t="s">
        <v>215</v>
      </c>
      <c r="B176" s="8"/>
    </row>
    <row r="177" customFormat="false" ht="19.5" hidden="false" customHeight="true" outlineLevel="0" collapsed="false">
      <c r="A177" s="15" t="s">
        <v>216</v>
      </c>
      <c r="B177" s="8"/>
    </row>
    <row r="178" customFormat="false" ht="19.5" hidden="false" customHeight="true" outlineLevel="0" collapsed="false">
      <c r="A178" s="15" t="s">
        <v>217</v>
      </c>
      <c r="B178" s="8"/>
    </row>
    <row r="179" customFormat="false" ht="19.5" hidden="false" customHeight="true" outlineLevel="0" collapsed="false">
      <c r="A179" s="15" t="s">
        <v>218</v>
      </c>
      <c r="B179" s="8"/>
    </row>
    <row r="180" customFormat="false" ht="19.5" hidden="false" customHeight="true" outlineLevel="0" collapsed="false">
      <c r="A180" s="15" t="s">
        <v>219</v>
      </c>
      <c r="B180" s="8"/>
    </row>
    <row r="181" customFormat="false" ht="19.5" hidden="false" customHeight="true" outlineLevel="0" collapsed="false">
      <c r="A181" s="15" t="s">
        <v>220</v>
      </c>
      <c r="B181" s="8"/>
    </row>
    <row r="182" customFormat="false" ht="19.5" hidden="false" customHeight="true" outlineLevel="0" collapsed="false">
      <c r="A182" s="15" t="s">
        <v>221</v>
      </c>
      <c r="B182" s="8"/>
    </row>
    <row r="183" customFormat="false" ht="7.5" hidden="false" customHeight="true" outlineLevel="0" collapsed="false">
      <c r="A183" s="16"/>
      <c r="B183" s="16"/>
    </row>
    <row r="184" customFormat="false" ht="24" hidden="false" customHeight="true" outlineLevel="0" collapsed="false">
      <c r="A184" s="6" t="s">
        <v>222</v>
      </c>
      <c r="B184" s="14"/>
    </row>
    <row r="185" customFormat="false" ht="19.5" hidden="false" customHeight="true" outlineLevel="0" collapsed="false">
      <c r="A185" s="15" t="s">
        <v>223</v>
      </c>
      <c r="B185" s="8"/>
    </row>
    <row r="186" customFormat="false" ht="19.5" hidden="false" customHeight="true" outlineLevel="0" collapsed="false">
      <c r="A186" s="15" t="s">
        <v>224</v>
      </c>
      <c r="B186" s="8"/>
    </row>
    <row r="187" customFormat="false" ht="19.5" hidden="false" customHeight="true" outlineLevel="0" collapsed="false">
      <c r="A187" s="15" t="s">
        <v>225</v>
      </c>
      <c r="B187" s="8"/>
    </row>
    <row r="188" customFormat="false" ht="19.5" hidden="false" customHeight="true" outlineLevel="0" collapsed="false">
      <c r="A188" s="15" t="s">
        <v>226</v>
      </c>
      <c r="B188" s="8"/>
    </row>
    <row r="189" customFormat="false" ht="19.5" hidden="false" customHeight="true" outlineLevel="0" collapsed="false">
      <c r="A189" s="15" t="s">
        <v>227</v>
      </c>
      <c r="B189" s="8"/>
    </row>
    <row r="190" customFormat="false" ht="19.5" hidden="false" customHeight="true" outlineLevel="0" collapsed="false">
      <c r="A190" s="15" t="s">
        <v>228</v>
      </c>
      <c r="B190" s="8"/>
    </row>
    <row r="191" customFormat="false" ht="19.5" hidden="false" customHeight="true" outlineLevel="0" collapsed="false">
      <c r="A191" s="15" t="s">
        <v>229</v>
      </c>
      <c r="B191" s="8"/>
    </row>
    <row r="192" customFormat="false" ht="19.5" hidden="false" customHeight="true" outlineLevel="0" collapsed="false">
      <c r="A192" s="15" t="s">
        <v>230</v>
      </c>
      <c r="B192" s="8"/>
    </row>
    <row r="193" customFormat="false" ht="19.5" hidden="false" customHeight="true" outlineLevel="0" collapsed="false">
      <c r="A193" s="15" t="s">
        <v>231</v>
      </c>
      <c r="B193" s="8"/>
    </row>
    <row r="194" customFormat="false" ht="19.5" hidden="false" customHeight="true" outlineLevel="0" collapsed="false">
      <c r="A194" s="15" t="s">
        <v>232</v>
      </c>
      <c r="B194" s="8"/>
    </row>
    <row r="195" customFormat="false" ht="7.5" hidden="false" customHeight="true" outlineLevel="0" collapsed="false">
      <c r="A195" s="16"/>
      <c r="B195" s="16"/>
    </row>
    <row r="196" customFormat="false" ht="24" hidden="false" customHeight="true" outlineLevel="0" collapsed="false">
      <c r="A196" s="6" t="s">
        <v>233</v>
      </c>
      <c r="B196" s="14"/>
    </row>
    <row r="197" customFormat="false" ht="19.5" hidden="false" customHeight="true" outlineLevel="0" collapsed="false">
      <c r="A197" s="15" t="s">
        <v>234</v>
      </c>
      <c r="B197" s="8"/>
    </row>
    <row r="198" customFormat="false" ht="19.5" hidden="false" customHeight="true" outlineLevel="0" collapsed="false">
      <c r="A198" s="15" t="s">
        <v>235</v>
      </c>
      <c r="B198" s="8"/>
    </row>
    <row r="199" customFormat="false" ht="19.5" hidden="false" customHeight="true" outlineLevel="0" collapsed="false">
      <c r="A199" s="15" t="s">
        <v>236</v>
      </c>
      <c r="B199" s="8"/>
    </row>
    <row r="200" customFormat="false" ht="19.5" hidden="false" customHeight="true" outlineLevel="0" collapsed="false">
      <c r="A200" s="15" t="s">
        <v>237</v>
      </c>
      <c r="B200" s="8"/>
    </row>
    <row r="201" customFormat="false" ht="19.5" hidden="false" customHeight="true" outlineLevel="0" collapsed="false">
      <c r="A201" s="15" t="s">
        <v>238</v>
      </c>
      <c r="B201" s="8"/>
    </row>
    <row r="202" customFormat="false" ht="7.5" hidden="false" customHeight="true" outlineLevel="0" collapsed="false">
      <c r="A202" s="16"/>
      <c r="B202" s="16"/>
    </row>
    <row r="203" customFormat="false" ht="24" hidden="false" customHeight="true" outlineLevel="0" collapsed="false">
      <c r="A203" s="6" t="s">
        <v>239</v>
      </c>
      <c r="B203" s="14"/>
    </row>
    <row r="204" customFormat="false" ht="19.5" hidden="false" customHeight="true" outlineLevel="0" collapsed="false">
      <c r="A204" s="15" t="s">
        <v>240</v>
      </c>
      <c r="B204" s="8"/>
    </row>
    <row r="205" customFormat="false" ht="19.5" hidden="false" customHeight="true" outlineLevel="0" collapsed="false">
      <c r="A205" s="15" t="s">
        <v>241</v>
      </c>
      <c r="B205" s="8"/>
    </row>
    <row r="206" customFormat="false" ht="19.5" hidden="false" customHeight="true" outlineLevel="0" collapsed="false">
      <c r="A206" s="15" t="s">
        <v>242</v>
      </c>
      <c r="B206" s="8"/>
    </row>
    <row r="207" customFormat="false" ht="19.5" hidden="false" customHeight="true" outlineLevel="0" collapsed="false">
      <c r="A207" s="15" t="s">
        <v>243</v>
      </c>
      <c r="B207" s="8"/>
    </row>
    <row r="208" customFormat="false" ht="19.5" hidden="false" customHeight="true" outlineLevel="0" collapsed="false">
      <c r="A208" s="15" t="s">
        <v>244</v>
      </c>
      <c r="B208" s="8"/>
    </row>
    <row r="209" customFormat="false" ht="19.5" hidden="false" customHeight="true" outlineLevel="0" collapsed="false">
      <c r="A209" s="15" t="s">
        <v>245</v>
      </c>
      <c r="B209" s="8"/>
    </row>
    <row r="210" customFormat="false" ht="7.5" hidden="false" customHeight="true" outlineLevel="0" collapsed="false">
      <c r="A210" s="16"/>
      <c r="B210" s="16"/>
    </row>
  </sheetData>
  <conditionalFormatting sqref="B2:B21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"Finding"</formula>
    </cfRule>
    <cfRule type="cellIs" priority="4" operator="equal" aboveAverage="0" equalAverage="0" bottom="0" percent="0" rank="0" text="" dxfId="2">
      <formula>"Investigate"</formula>
    </cfRule>
  </conditionalFormatting>
  <dataValidations count="1">
    <dataValidation allowBlank="true" error="Choose: OK, Finding, or Investigate" errorStyle="stop" errorTitle="Invalid" operator="between" showDropDown="false" showErrorMessage="true" showInputMessage="false" sqref="B3:B17 B20:B27 B30:B49 B52:B64 B67:B78 B81:B109 B112:B121 B124:B130 B133:B139 B142:B150 B153:B162 B165:B171 B174:B182 B185:B194 B197:B201 B204:B209" type="list">
      <formula1>"OK,Finding,Investigate"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8A6FF"/>
    <pageSetUpPr fitToPage="false"/>
  </sheetPr>
  <dimension ref="A1:B1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6"/>
    <col collapsed="false" customWidth="true" hidden="false" outlineLevel="0" max="3" min="3" style="0" width="4"/>
  </cols>
  <sheetData>
    <row r="1" customFormat="false" ht="31.5" hidden="false" customHeight="true" outlineLevel="0" collapsed="false">
      <c r="A1" s="13" t="s">
        <v>246</v>
      </c>
      <c r="B1" s="12" t="s">
        <v>52</v>
      </c>
    </row>
    <row r="2" customFormat="false" ht="24" hidden="false" customHeight="true" outlineLevel="0" collapsed="false">
      <c r="A2" s="6" t="s">
        <v>247</v>
      </c>
      <c r="B2" s="14"/>
    </row>
    <row r="3" customFormat="false" ht="19.5" hidden="false" customHeight="true" outlineLevel="0" collapsed="false">
      <c r="A3" s="15" t="s">
        <v>248</v>
      </c>
      <c r="B3" s="8"/>
    </row>
    <row r="4" customFormat="false" ht="19.5" hidden="false" customHeight="true" outlineLevel="0" collapsed="false">
      <c r="A4" s="15" t="s">
        <v>249</v>
      </c>
      <c r="B4" s="8"/>
    </row>
    <row r="5" customFormat="false" ht="19.5" hidden="false" customHeight="true" outlineLevel="0" collapsed="false">
      <c r="A5" s="15" t="s">
        <v>250</v>
      </c>
      <c r="B5" s="8"/>
    </row>
    <row r="6" customFormat="false" ht="19.5" hidden="false" customHeight="true" outlineLevel="0" collapsed="false">
      <c r="A6" s="15" t="s">
        <v>251</v>
      </c>
      <c r="B6" s="8"/>
    </row>
    <row r="7" customFormat="false" ht="19.5" hidden="false" customHeight="true" outlineLevel="0" collapsed="false">
      <c r="A7" s="15" t="s">
        <v>252</v>
      </c>
      <c r="B7" s="8"/>
    </row>
    <row r="8" customFormat="false" ht="19.5" hidden="false" customHeight="true" outlineLevel="0" collapsed="false">
      <c r="A8" s="15" t="s">
        <v>253</v>
      </c>
      <c r="B8" s="8"/>
    </row>
    <row r="9" customFormat="false" ht="19.5" hidden="false" customHeight="true" outlineLevel="0" collapsed="false">
      <c r="A9" s="15" t="s">
        <v>254</v>
      </c>
      <c r="B9" s="8"/>
    </row>
    <row r="10" customFormat="false" ht="7.5" hidden="false" customHeight="true" outlineLevel="0" collapsed="false">
      <c r="A10" s="16"/>
      <c r="B10" s="16"/>
    </row>
    <row r="11" customFormat="false" ht="24" hidden="false" customHeight="true" outlineLevel="0" collapsed="false">
      <c r="A11" s="6" t="s">
        <v>255</v>
      </c>
      <c r="B11" s="14"/>
    </row>
    <row r="12" customFormat="false" ht="19.5" hidden="false" customHeight="true" outlineLevel="0" collapsed="false">
      <c r="A12" s="15" t="s">
        <v>256</v>
      </c>
      <c r="B12" s="8"/>
    </row>
    <row r="13" customFormat="false" ht="19.5" hidden="false" customHeight="true" outlineLevel="0" collapsed="false">
      <c r="A13" s="15" t="s">
        <v>257</v>
      </c>
      <c r="B13" s="8"/>
    </row>
    <row r="14" customFormat="false" ht="19.5" hidden="false" customHeight="true" outlineLevel="0" collapsed="false">
      <c r="A14" s="15" t="s">
        <v>258</v>
      </c>
      <c r="B14" s="8"/>
    </row>
    <row r="15" customFormat="false" ht="19.5" hidden="false" customHeight="true" outlineLevel="0" collapsed="false">
      <c r="A15" s="15" t="s">
        <v>259</v>
      </c>
      <c r="B15" s="8"/>
    </row>
    <row r="16" customFormat="false" ht="19.5" hidden="false" customHeight="true" outlineLevel="0" collapsed="false">
      <c r="A16" s="15" t="s">
        <v>260</v>
      </c>
      <c r="B16" s="8"/>
    </row>
    <row r="17" customFormat="false" ht="19.5" hidden="false" customHeight="true" outlineLevel="0" collapsed="false">
      <c r="A17" s="15" t="s">
        <v>261</v>
      </c>
      <c r="B17" s="8"/>
    </row>
    <row r="18" customFormat="false" ht="19.5" hidden="false" customHeight="true" outlineLevel="0" collapsed="false">
      <c r="A18" s="15" t="s">
        <v>262</v>
      </c>
      <c r="B18" s="8"/>
    </row>
    <row r="19" customFormat="false" ht="19.5" hidden="false" customHeight="true" outlineLevel="0" collapsed="false">
      <c r="A19" s="15" t="s">
        <v>263</v>
      </c>
      <c r="B19" s="8"/>
    </row>
    <row r="20" customFormat="false" ht="19.5" hidden="false" customHeight="true" outlineLevel="0" collapsed="false">
      <c r="A20" s="15" t="s">
        <v>264</v>
      </c>
      <c r="B20" s="8"/>
    </row>
    <row r="21" customFormat="false" ht="19.5" hidden="false" customHeight="true" outlineLevel="0" collapsed="false">
      <c r="A21" s="15" t="s">
        <v>265</v>
      </c>
      <c r="B21" s="8"/>
    </row>
    <row r="22" customFormat="false" ht="19.5" hidden="false" customHeight="true" outlineLevel="0" collapsed="false">
      <c r="A22" s="15" t="s">
        <v>266</v>
      </c>
      <c r="B22" s="8"/>
    </row>
    <row r="23" customFormat="false" ht="19.5" hidden="false" customHeight="true" outlineLevel="0" collapsed="false">
      <c r="A23" s="15" t="s">
        <v>267</v>
      </c>
      <c r="B23" s="8"/>
    </row>
    <row r="24" customFormat="false" ht="7.5" hidden="false" customHeight="true" outlineLevel="0" collapsed="false">
      <c r="A24" s="16"/>
      <c r="B24" s="16"/>
    </row>
    <row r="25" customFormat="false" ht="24" hidden="false" customHeight="true" outlineLevel="0" collapsed="false">
      <c r="A25" s="6" t="s">
        <v>268</v>
      </c>
      <c r="B25" s="14"/>
    </row>
    <row r="26" customFormat="false" ht="19.5" hidden="false" customHeight="true" outlineLevel="0" collapsed="false">
      <c r="A26" s="15" t="s">
        <v>269</v>
      </c>
      <c r="B26" s="8"/>
    </row>
    <row r="27" customFormat="false" ht="19.5" hidden="false" customHeight="true" outlineLevel="0" collapsed="false">
      <c r="A27" s="15" t="s">
        <v>270</v>
      </c>
      <c r="B27" s="8"/>
    </row>
    <row r="28" customFormat="false" ht="19.5" hidden="false" customHeight="true" outlineLevel="0" collapsed="false">
      <c r="A28" s="15" t="s">
        <v>271</v>
      </c>
      <c r="B28" s="8"/>
    </row>
    <row r="29" customFormat="false" ht="19.5" hidden="false" customHeight="true" outlineLevel="0" collapsed="false">
      <c r="A29" s="15" t="s">
        <v>272</v>
      </c>
      <c r="B29" s="8"/>
    </row>
    <row r="30" customFormat="false" ht="19.5" hidden="false" customHeight="true" outlineLevel="0" collapsed="false">
      <c r="A30" s="15" t="s">
        <v>273</v>
      </c>
      <c r="B30" s="8"/>
    </row>
    <row r="31" customFormat="false" ht="19.5" hidden="false" customHeight="true" outlineLevel="0" collapsed="false">
      <c r="A31" s="15" t="s">
        <v>274</v>
      </c>
      <c r="B31" s="8"/>
    </row>
    <row r="32" customFormat="false" ht="19.5" hidden="false" customHeight="true" outlineLevel="0" collapsed="false">
      <c r="A32" s="15" t="s">
        <v>275</v>
      </c>
      <c r="B32" s="8"/>
    </row>
    <row r="33" customFormat="false" ht="19.5" hidden="false" customHeight="true" outlineLevel="0" collapsed="false">
      <c r="A33" s="15" t="s">
        <v>276</v>
      </c>
      <c r="B33" s="8"/>
    </row>
    <row r="34" customFormat="false" ht="19.5" hidden="false" customHeight="true" outlineLevel="0" collapsed="false">
      <c r="A34" s="15" t="s">
        <v>277</v>
      </c>
      <c r="B34" s="8"/>
    </row>
    <row r="35" customFormat="false" ht="7.5" hidden="false" customHeight="true" outlineLevel="0" collapsed="false">
      <c r="A35" s="16"/>
      <c r="B35" s="16"/>
    </row>
    <row r="36" customFormat="false" ht="24" hidden="false" customHeight="true" outlineLevel="0" collapsed="false">
      <c r="A36" s="6" t="s">
        <v>278</v>
      </c>
      <c r="B36" s="14"/>
    </row>
    <row r="37" customFormat="false" ht="19.5" hidden="false" customHeight="true" outlineLevel="0" collapsed="false">
      <c r="A37" s="15" t="s">
        <v>279</v>
      </c>
      <c r="B37" s="8"/>
    </row>
    <row r="38" customFormat="false" ht="19.5" hidden="false" customHeight="true" outlineLevel="0" collapsed="false">
      <c r="A38" s="15" t="s">
        <v>280</v>
      </c>
      <c r="B38" s="8"/>
    </row>
    <row r="39" customFormat="false" ht="19.5" hidden="false" customHeight="true" outlineLevel="0" collapsed="false">
      <c r="A39" s="15" t="s">
        <v>281</v>
      </c>
      <c r="B39" s="8"/>
    </row>
    <row r="40" customFormat="false" ht="19.5" hidden="false" customHeight="true" outlineLevel="0" collapsed="false">
      <c r="A40" s="15" t="s">
        <v>282</v>
      </c>
      <c r="B40" s="8"/>
    </row>
    <row r="41" customFormat="false" ht="19.5" hidden="false" customHeight="true" outlineLevel="0" collapsed="false">
      <c r="A41" s="15" t="s">
        <v>283</v>
      </c>
      <c r="B41" s="8"/>
    </row>
    <row r="42" customFormat="false" ht="19.5" hidden="false" customHeight="true" outlineLevel="0" collapsed="false">
      <c r="A42" s="15" t="s">
        <v>284</v>
      </c>
      <c r="B42" s="8"/>
    </row>
    <row r="43" customFormat="false" ht="19.5" hidden="false" customHeight="true" outlineLevel="0" collapsed="false">
      <c r="A43" s="15" t="s">
        <v>285</v>
      </c>
      <c r="B43" s="8"/>
    </row>
    <row r="44" customFormat="false" ht="19.5" hidden="false" customHeight="true" outlineLevel="0" collapsed="false">
      <c r="A44" s="15" t="s">
        <v>286</v>
      </c>
      <c r="B44" s="8"/>
    </row>
    <row r="45" customFormat="false" ht="19.5" hidden="false" customHeight="true" outlineLevel="0" collapsed="false">
      <c r="A45" s="15" t="s">
        <v>287</v>
      </c>
      <c r="B45" s="8"/>
    </row>
    <row r="46" customFormat="false" ht="19.5" hidden="false" customHeight="true" outlineLevel="0" collapsed="false">
      <c r="A46" s="15" t="s">
        <v>288</v>
      </c>
      <c r="B46" s="8"/>
    </row>
    <row r="47" customFormat="false" ht="19.5" hidden="false" customHeight="true" outlineLevel="0" collapsed="false">
      <c r="A47" s="15" t="s">
        <v>289</v>
      </c>
      <c r="B47" s="8"/>
    </row>
    <row r="48" customFormat="false" ht="19.5" hidden="false" customHeight="true" outlineLevel="0" collapsed="false">
      <c r="A48" s="15" t="s">
        <v>290</v>
      </c>
      <c r="B48" s="8"/>
    </row>
    <row r="49" customFormat="false" ht="19.5" hidden="false" customHeight="true" outlineLevel="0" collapsed="false">
      <c r="A49" s="15" t="s">
        <v>291</v>
      </c>
      <c r="B49" s="8"/>
    </row>
    <row r="50" customFormat="false" ht="19.5" hidden="false" customHeight="true" outlineLevel="0" collapsed="false">
      <c r="A50" s="15" t="s">
        <v>292</v>
      </c>
      <c r="B50" s="8"/>
    </row>
    <row r="51" customFormat="false" ht="19.5" hidden="false" customHeight="true" outlineLevel="0" collapsed="false">
      <c r="A51" s="15" t="s">
        <v>293</v>
      </c>
      <c r="B51" s="8"/>
    </row>
    <row r="52" customFormat="false" ht="19.5" hidden="false" customHeight="true" outlineLevel="0" collapsed="false">
      <c r="A52" s="15" t="s">
        <v>294</v>
      </c>
      <c r="B52" s="8"/>
    </row>
    <row r="53" customFormat="false" ht="19.5" hidden="false" customHeight="true" outlineLevel="0" collapsed="false">
      <c r="A53" s="15" t="s">
        <v>295</v>
      </c>
      <c r="B53" s="8"/>
    </row>
    <row r="54" customFormat="false" ht="19.5" hidden="false" customHeight="true" outlineLevel="0" collapsed="false">
      <c r="A54" s="15" t="s">
        <v>296</v>
      </c>
      <c r="B54" s="8"/>
    </row>
    <row r="55" customFormat="false" ht="19.5" hidden="false" customHeight="true" outlineLevel="0" collapsed="false">
      <c r="A55" s="15" t="s">
        <v>297</v>
      </c>
      <c r="B55" s="8"/>
    </row>
    <row r="56" customFormat="false" ht="19.5" hidden="false" customHeight="true" outlineLevel="0" collapsed="false">
      <c r="A56" s="15" t="s">
        <v>298</v>
      </c>
      <c r="B56" s="8"/>
    </row>
    <row r="57" customFormat="false" ht="19.5" hidden="false" customHeight="true" outlineLevel="0" collapsed="false">
      <c r="A57" s="15" t="s">
        <v>299</v>
      </c>
      <c r="B57" s="8"/>
    </row>
    <row r="58" customFormat="false" ht="19.5" hidden="false" customHeight="true" outlineLevel="0" collapsed="false">
      <c r="A58" s="15" t="s">
        <v>300</v>
      </c>
      <c r="B58" s="8"/>
    </row>
    <row r="59" customFormat="false" ht="19.5" hidden="false" customHeight="true" outlineLevel="0" collapsed="false">
      <c r="A59" s="15" t="s">
        <v>301</v>
      </c>
      <c r="B59" s="8"/>
    </row>
    <row r="60" customFormat="false" ht="19.5" hidden="false" customHeight="true" outlineLevel="0" collapsed="false">
      <c r="A60" s="15" t="s">
        <v>302</v>
      </c>
      <c r="B60" s="8"/>
    </row>
    <row r="61" customFormat="false" ht="19.5" hidden="false" customHeight="true" outlineLevel="0" collapsed="false">
      <c r="A61" s="15" t="s">
        <v>303</v>
      </c>
      <c r="B61" s="8"/>
    </row>
    <row r="62" customFormat="false" ht="19.5" hidden="false" customHeight="true" outlineLevel="0" collapsed="false">
      <c r="A62" s="15" t="s">
        <v>304</v>
      </c>
      <c r="B62" s="8"/>
    </row>
    <row r="63" customFormat="false" ht="19.5" hidden="false" customHeight="true" outlineLevel="0" collapsed="false">
      <c r="A63" s="15" t="s">
        <v>305</v>
      </c>
      <c r="B63" s="8"/>
    </row>
    <row r="64" customFormat="false" ht="19.5" hidden="false" customHeight="true" outlineLevel="0" collapsed="false">
      <c r="A64" s="15" t="s">
        <v>306</v>
      </c>
      <c r="B64" s="8"/>
    </row>
    <row r="65" customFormat="false" ht="19.5" hidden="false" customHeight="true" outlineLevel="0" collapsed="false">
      <c r="A65" s="15" t="s">
        <v>307</v>
      </c>
      <c r="B65" s="8"/>
    </row>
    <row r="66" customFormat="false" ht="19.5" hidden="false" customHeight="true" outlineLevel="0" collapsed="false">
      <c r="A66" s="15" t="s">
        <v>308</v>
      </c>
      <c r="B66" s="8"/>
    </row>
    <row r="67" customFormat="false" ht="19.5" hidden="false" customHeight="true" outlineLevel="0" collapsed="false">
      <c r="A67" s="15" t="s">
        <v>309</v>
      </c>
      <c r="B67" s="8"/>
    </row>
    <row r="68" customFormat="false" ht="19.5" hidden="false" customHeight="true" outlineLevel="0" collapsed="false">
      <c r="A68" s="15" t="s">
        <v>310</v>
      </c>
      <c r="B68" s="8"/>
    </row>
    <row r="69" customFormat="false" ht="19.5" hidden="false" customHeight="true" outlineLevel="0" collapsed="false">
      <c r="A69" s="15" t="s">
        <v>311</v>
      </c>
      <c r="B69" s="8"/>
    </row>
    <row r="70" customFormat="false" ht="19.5" hidden="false" customHeight="true" outlineLevel="0" collapsed="false">
      <c r="A70" s="15" t="s">
        <v>312</v>
      </c>
      <c r="B70" s="8"/>
    </row>
    <row r="71" customFormat="false" ht="19.5" hidden="false" customHeight="true" outlineLevel="0" collapsed="false">
      <c r="A71" s="15" t="s">
        <v>313</v>
      </c>
      <c r="B71" s="8"/>
    </row>
    <row r="72" customFormat="false" ht="19.5" hidden="false" customHeight="true" outlineLevel="0" collapsed="false">
      <c r="A72" s="15" t="s">
        <v>314</v>
      </c>
      <c r="B72" s="8"/>
    </row>
    <row r="73" customFormat="false" ht="19.5" hidden="false" customHeight="true" outlineLevel="0" collapsed="false">
      <c r="A73" s="15" t="s">
        <v>315</v>
      </c>
      <c r="B73" s="8"/>
    </row>
    <row r="74" customFormat="false" ht="19.5" hidden="false" customHeight="true" outlineLevel="0" collapsed="false">
      <c r="A74" s="15" t="s">
        <v>316</v>
      </c>
      <c r="B74" s="8"/>
    </row>
    <row r="75" customFormat="false" ht="19.5" hidden="false" customHeight="true" outlineLevel="0" collapsed="false">
      <c r="A75" s="15" t="s">
        <v>317</v>
      </c>
      <c r="B75" s="8"/>
    </row>
    <row r="76" customFormat="false" ht="19.5" hidden="false" customHeight="true" outlineLevel="0" collapsed="false">
      <c r="A76" s="15" t="s">
        <v>318</v>
      </c>
      <c r="B76" s="8"/>
    </row>
    <row r="77" customFormat="false" ht="19.5" hidden="false" customHeight="true" outlineLevel="0" collapsed="false">
      <c r="A77" s="15" t="s">
        <v>319</v>
      </c>
      <c r="B77" s="8"/>
    </row>
    <row r="78" customFormat="false" ht="19.5" hidden="false" customHeight="true" outlineLevel="0" collapsed="false">
      <c r="A78" s="15" t="s">
        <v>320</v>
      </c>
      <c r="B78" s="8"/>
    </row>
    <row r="79" customFormat="false" ht="19.5" hidden="false" customHeight="true" outlineLevel="0" collapsed="false">
      <c r="A79" s="15" t="s">
        <v>321</v>
      </c>
      <c r="B79" s="8"/>
    </row>
    <row r="80" customFormat="false" ht="19.5" hidden="false" customHeight="true" outlineLevel="0" collapsed="false">
      <c r="A80" s="15" t="s">
        <v>322</v>
      </c>
      <c r="B80" s="8"/>
    </row>
    <row r="81" customFormat="false" ht="19.5" hidden="false" customHeight="true" outlineLevel="0" collapsed="false">
      <c r="A81" s="15" t="s">
        <v>323</v>
      </c>
      <c r="B81" s="8"/>
    </row>
    <row r="82" customFormat="false" ht="19.5" hidden="false" customHeight="true" outlineLevel="0" collapsed="false">
      <c r="A82" s="15" t="s">
        <v>324</v>
      </c>
      <c r="B82" s="8"/>
    </row>
    <row r="83" customFormat="false" ht="19.5" hidden="false" customHeight="true" outlineLevel="0" collapsed="false">
      <c r="A83" s="15" t="s">
        <v>325</v>
      </c>
      <c r="B83" s="8"/>
    </row>
    <row r="84" customFormat="false" ht="19.5" hidden="false" customHeight="true" outlineLevel="0" collapsed="false">
      <c r="A84" s="15" t="s">
        <v>326</v>
      </c>
      <c r="B84" s="8"/>
    </row>
    <row r="85" customFormat="false" ht="19.5" hidden="false" customHeight="true" outlineLevel="0" collapsed="false">
      <c r="A85" s="15" t="s">
        <v>327</v>
      </c>
      <c r="B85" s="8"/>
    </row>
    <row r="86" customFormat="false" ht="19.5" hidden="false" customHeight="true" outlineLevel="0" collapsed="false">
      <c r="A86" s="15" t="s">
        <v>328</v>
      </c>
      <c r="B86" s="8"/>
    </row>
    <row r="87" customFormat="false" ht="19.5" hidden="false" customHeight="true" outlineLevel="0" collapsed="false">
      <c r="A87" s="15" t="s">
        <v>329</v>
      </c>
      <c r="B87" s="8"/>
    </row>
    <row r="88" customFormat="false" ht="19.5" hidden="false" customHeight="true" outlineLevel="0" collapsed="false">
      <c r="A88" s="15" t="s">
        <v>330</v>
      </c>
      <c r="B88" s="8"/>
    </row>
    <row r="89" customFormat="false" ht="19.5" hidden="false" customHeight="true" outlineLevel="0" collapsed="false">
      <c r="A89" s="15" t="s">
        <v>331</v>
      </c>
      <c r="B89" s="8"/>
    </row>
    <row r="90" customFormat="false" ht="19.5" hidden="false" customHeight="true" outlineLevel="0" collapsed="false">
      <c r="A90" s="15" t="s">
        <v>332</v>
      </c>
      <c r="B90" s="8"/>
    </row>
    <row r="91" customFormat="false" ht="19.5" hidden="false" customHeight="true" outlineLevel="0" collapsed="false">
      <c r="A91" s="15" t="s">
        <v>333</v>
      </c>
      <c r="B91" s="8"/>
    </row>
    <row r="92" customFormat="false" ht="19.5" hidden="false" customHeight="true" outlineLevel="0" collapsed="false">
      <c r="A92" s="15" t="s">
        <v>334</v>
      </c>
      <c r="B92" s="8"/>
    </row>
    <row r="93" customFormat="false" ht="19.5" hidden="false" customHeight="true" outlineLevel="0" collapsed="false">
      <c r="A93" s="15" t="s">
        <v>335</v>
      </c>
      <c r="B93" s="8"/>
    </row>
    <row r="94" customFormat="false" ht="19.5" hidden="false" customHeight="true" outlineLevel="0" collapsed="false">
      <c r="A94" s="15" t="s">
        <v>336</v>
      </c>
      <c r="B94" s="8"/>
    </row>
    <row r="95" customFormat="false" ht="19.5" hidden="false" customHeight="true" outlineLevel="0" collapsed="false">
      <c r="A95" s="15" t="s">
        <v>337</v>
      </c>
      <c r="B95" s="8"/>
    </row>
    <row r="96" customFormat="false" ht="19.5" hidden="false" customHeight="true" outlineLevel="0" collapsed="false">
      <c r="A96" s="15" t="s">
        <v>338</v>
      </c>
      <c r="B96" s="8"/>
    </row>
    <row r="97" customFormat="false" ht="19.5" hidden="false" customHeight="true" outlineLevel="0" collapsed="false">
      <c r="A97" s="15" t="s">
        <v>339</v>
      </c>
      <c r="B97" s="8"/>
    </row>
    <row r="98" customFormat="false" ht="19.5" hidden="false" customHeight="true" outlineLevel="0" collapsed="false">
      <c r="A98" s="15" t="s">
        <v>340</v>
      </c>
      <c r="B98" s="8"/>
    </row>
    <row r="99" customFormat="false" ht="19.5" hidden="false" customHeight="true" outlineLevel="0" collapsed="false">
      <c r="A99" s="15" t="s">
        <v>341</v>
      </c>
      <c r="B99" s="8"/>
    </row>
    <row r="100" customFormat="false" ht="7.5" hidden="false" customHeight="true" outlineLevel="0" collapsed="false">
      <c r="A100" s="16"/>
      <c r="B100" s="16"/>
    </row>
    <row r="101" customFormat="false" ht="24" hidden="false" customHeight="true" outlineLevel="0" collapsed="false">
      <c r="A101" s="6" t="s">
        <v>342</v>
      </c>
      <c r="B101" s="14"/>
    </row>
    <row r="102" customFormat="false" ht="19.5" hidden="false" customHeight="true" outlineLevel="0" collapsed="false">
      <c r="A102" s="15" t="s">
        <v>343</v>
      </c>
      <c r="B102" s="8"/>
    </row>
    <row r="103" customFormat="false" ht="19.5" hidden="false" customHeight="true" outlineLevel="0" collapsed="false">
      <c r="A103" s="15" t="s">
        <v>344</v>
      </c>
      <c r="B103" s="8"/>
    </row>
    <row r="104" customFormat="false" ht="19.5" hidden="false" customHeight="true" outlineLevel="0" collapsed="false">
      <c r="A104" s="15" t="s">
        <v>345</v>
      </c>
      <c r="B104" s="8"/>
    </row>
    <row r="105" customFormat="false" ht="19.5" hidden="false" customHeight="true" outlineLevel="0" collapsed="false">
      <c r="A105" s="15" t="s">
        <v>346</v>
      </c>
      <c r="B105" s="8"/>
    </row>
    <row r="106" customFormat="false" ht="19.5" hidden="false" customHeight="true" outlineLevel="0" collapsed="false">
      <c r="A106" s="15" t="s">
        <v>347</v>
      </c>
      <c r="B106" s="8"/>
    </row>
    <row r="107" customFormat="false" ht="19.5" hidden="false" customHeight="true" outlineLevel="0" collapsed="false">
      <c r="A107" s="15" t="s">
        <v>348</v>
      </c>
      <c r="B107" s="8"/>
    </row>
    <row r="108" customFormat="false" ht="7.5" hidden="false" customHeight="true" outlineLevel="0" collapsed="false">
      <c r="A108" s="16"/>
      <c r="B108" s="16"/>
    </row>
    <row r="109" customFormat="false" ht="24" hidden="false" customHeight="true" outlineLevel="0" collapsed="false">
      <c r="A109" s="6" t="s">
        <v>349</v>
      </c>
      <c r="B109" s="14"/>
    </row>
    <row r="110" customFormat="false" ht="19.5" hidden="false" customHeight="true" outlineLevel="0" collapsed="false">
      <c r="A110" s="15" t="s">
        <v>350</v>
      </c>
      <c r="B110" s="8"/>
    </row>
    <row r="111" customFormat="false" ht="19.5" hidden="false" customHeight="true" outlineLevel="0" collapsed="false">
      <c r="A111" s="15" t="s">
        <v>351</v>
      </c>
      <c r="B111" s="8"/>
    </row>
    <row r="112" customFormat="false" ht="19.5" hidden="false" customHeight="true" outlineLevel="0" collapsed="false">
      <c r="A112" s="15" t="s">
        <v>352</v>
      </c>
      <c r="B112" s="8"/>
    </row>
    <row r="113" customFormat="false" ht="19.5" hidden="false" customHeight="true" outlineLevel="0" collapsed="false">
      <c r="A113" s="15" t="s">
        <v>353</v>
      </c>
      <c r="B113" s="8"/>
    </row>
    <row r="114" customFormat="false" ht="19.5" hidden="false" customHeight="true" outlineLevel="0" collapsed="false">
      <c r="A114" s="15" t="s">
        <v>354</v>
      </c>
      <c r="B114" s="8"/>
    </row>
    <row r="115" customFormat="false" ht="19.5" hidden="false" customHeight="true" outlineLevel="0" collapsed="false">
      <c r="A115" s="15" t="s">
        <v>355</v>
      </c>
      <c r="B115" s="8"/>
    </row>
    <row r="116" customFormat="false" ht="19.5" hidden="false" customHeight="true" outlineLevel="0" collapsed="false">
      <c r="A116" s="15" t="s">
        <v>356</v>
      </c>
      <c r="B116" s="8"/>
    </row>
    <row r="117" customFormat="false" ht="7.5" hidden="false" customHeight="true" outlineLevel="0" collapsed="false">
      <c r="A117" s="16"/>
      <c r="B117" s="16"/>
    </row>
    <row r="118" customFormat="false" ht="24" hidden="false" customHeight="true" outlineLevel="0" collapsed="false">
      <c r="A118" s="6" t="s">
        <v>357</v>
      </c>
      <c r="B118" s="14"/>
    </row>
    <row r="119" customFormat="false" ht="19.5" hidden="false" customHeight="true" outlineLevel="0" collapsed="false">
      <c r="A119" s="15" t="s">
        <v>358</v>
      </c>
      <c r="B119" s="8"/>
    </row>
    <row r="120" customFormat="false" ht="19.5" hidden="false" customHeight="true" outlineLevel="0" collapsed="false">
      <c r="A120" s="15" t="s">
        <v>359</v>
      </c>
      <c r="B120" s="8"/>
    </row>
    <row r="121" customFormat="false" ht="19.5" hidden="false" customHeight="true" outlineLevel="0" collapsed="false">
      <c r="A121" s="15" t="s">
        <v>360</v>
      </c>
      <c r="B121" s="8"/>
    </row>
    <row r="122" customFormat="false" ht="19.5" hidden="false" customHeight="true" outlineLevel="0" collapsed="false">
      <c r="A122" s="15" t="s">
        <v>361</v>
      </c>
      <c r="B122" s="8"/>
    </row>
    <row r="123" customFormat="false" ht="19.5" hidden="false" customHeight="true" outlineLevel="0" collapsed="false">
      <c r="A123" s="15" t="s">
        <v>362</v>
      </c>
      <c r="B123" s="8"/>
    </row>
    <row r="124" customFormat="false" ht="19.5" hidden="false" customHeight="true" outlineLevel="0" collapsed="false">
      <c r="A124" s="15" t="s">
        <v>363</v>
      </c>
      <c r="B124" s="8"/>
    </row>
    <row r="125" customFormat="false" ht="19.5" hidden="false" customHeight="true" outlineLevel="0" collapsed="false">
      <c r="A125" s="15" t="s">
        <v>364</v>
      </c>
      <c r="B125" s="8"/>
    </row>
    <row r="126" customFormat="false" ht="7.5" hidden="false" customHeight="true" outlineLevel="0" collapsed="false">
      <c r="A126" s="16"/>
      <c r="B126" s="16"/>
    </row>
    <row r="127" customFormat="false" ht="24" hidden="false" customHeight="true" outlineLevel="0" collapsed="false">
      <c r="A127" s="6" t="s">
        <v>365</v>
      </c>
      <c r="B127" s="14"/>
    </row>
    <row r="128" customFormat="false" ht="19.5" hidden="false" customHeight="true" outlineLevel="0" collapsed="false">
      <c r="A128" s="15" t="s">
        <v>366</v>
      </c>
      <c r="B128" s="8"/>
    </row>
    <row r="129" customFormat="false" ht="19.5" hidden="false" customHeight="true" outlineLevel="0" collapsed="false">
      <c r="A129" s="15" t="s">
        <v>367</v>
      </c>
      <c r="B129" s="8"/>
    </row>
    <row r="130" customFormat="false" ht="19.5" hidden="false" customHeight="true" outlineLevel="0" collapsed="false">
      <c r="A130" s="15" t="s">
        <v>368</v>
      </c>
      <c r="B130" s="8"/>
    </row>
    <row r="131" customFormat="false" ht="19.5" hidden="false" customHeight="true" outlineLevel="0" collapsed="false">
      <c r="A131" s="15" t="s">
        <v>369</v>
      </c>
      <c r="B131" s="8"/>
    </row>
    <row r="132" customFormat="false" ht="19.5" hidden="false" customHeight="true" outlineLevel="0" collapsed="false">
      <c r="A132" s="15" t="s">
        <v>370</v>
      </c>
      <c r="B132" s="8"/>
    </row>
    <row r="133" customFormat="false" ht="19.5" hidden="false" customHeight="true" outlineLevel="0" collapsed="false">
      <c r="A133" s="15" t="s">
        <v>371</v>
      </c>
      <c r="B133" s="8"/>
    </row>
    <row r="134" customFormat="false" ht="19.5" hidden="false" customHeight="true" outlineLevel="0" collapsed="false">
      <c r="A134" s="15" t="s">
        <v>372</v>
      </c>
      <c r="B134" s="8"/>
    </row>
    <row r="135" customFormat="false" ht="19.5" hidden="false" customHeight="true" outlineLevel="0" collapsed="false">
      <c r="A135" s="15" t="s">
        <v>373</v>
      </c>
      <c r="B135" s="8"/>
    </row>
    <row r="136" customFormat="false" ht="19.5" hidden="false" customHeight="true" outlineLevel="0" collapsed="false">
      <c r="A136" s="15" t="s">
        <v>374</v>
      </c>
      <c r="B136" s="8"/>
    </row>
    <row r="137" customFormat="false" ht="19.5" hidden="false" customHeight="true" outlineLevel="0" collapsed="false">
      <c r="A137" s="15" t="s">
        <v>375</v>
      </c>
      <c r="B137" s="8"/>
    </row>
    <row r="138" customFormat="false" ht="19.5" hidden="false" customHeight="true" outlineLevel="0" collapsed="false">
      <c r="A138" s="15" t="s">
        <v>376</v>
      </c>
      <c r="B138" s="8"/>
    </row>
    <row r="139" customFormat="false" ht="19.5" hidden="false" customHeight="true" outlineLevel="0" collapsed="false">
      <c r="A139" s="15" t="s">
        <v>377</v>
      </c>
      <c r="B139" s="8"/>
    </row>
    <row r="140" customFormat="false" ht="19.5" hidden="false" customHeight="true" outlineLevel="0" collapsed="false">
      <c r="A140" s="15" t="s">
        <v>378</v>
      </c>
      <c r="B140" s="8"/>
    </row>
    <row r="141" customFormat="false" ht="19.5" hidden="false" customHeight="true" outlineLevel="0" collapsed="false">
      <c r="A141" s="15" t="s">
        <v>379</v>
      </c>
      <c r="B141" s="8"/>
    </row>
    <row r="142" customFormat="false" ht="19.5" hidden="false" customHeight="true" outlineLevel="0" collapsed="false">
      <c r="A142" s="15" t="s">
        <v>380</v>
      </c>
      <c r="B142" s="8"/>
    </row>
    <row r="143" customFormat="false" ht="19.5" hidden="false" customHeight="true" outlineLevel="0" collapsed="false">
      <c r="A143" s="15" t="s">
        <v>381</v>
      </c>
      <c r="B143" s="8"/>
    </row>
    <row r="144" customFormat="false" ht="19.5" hidden="false" customHeight="true" outlineLevel="0" collapsed="false">
      <c r="A144" s="15" t="s">
        <v>382</v>
      </c>
      <c r="B144" s="8"/>
    </row>
    <row r="145" customFormat="false" ht="19.5" hidden="false" customHeight="true" outlineLevel="0" collapsed="false">
      <c r="A145" s="15" t="s">
        <v>383</v>
      </c>
      <c r="B145" s="8"/>
    </row>
    <row r="146" customFormat="false" ht="7.5" hidden="false" customHeight="true" outlineLevel="0" collapsed="false">
      <c r="A146" s="16"/>
      <c r="B146" s="16"/>
    </row>
    <row r="147" customFormat="false" ht="24" hidden="false" customHeight="true" outlineLevel="0" collapsed="false">
      <c r="A147" s="6" t="s">
        <v>384</v>
      </c>
      <c r="B147" s="14"/>
    </row>
    <row r="148" customFormat="false" ht="19.5" hidden="false" customHeight="true" outlineLevel="0" collapsed="false">
      <c r="A148" s="15" t="s">
        <v>385</v>
      </c>
      <c r="B148" s="8"/>
    </row>
    <row r="149" customFormat="false" ht="19.5" hidden="false" customHeight="true" outlineLevel="0" collapsed="false">
      <c r="A149" s="15" t="s">
        <v>386</v>
      </c>
      <c r="B149" s="8"/>
    </row>
    <row r="150" customFormat="false" ht="19.5" hidden="false" customHeight="true" outlineLevel="0" collapsed="false">
      <c r="A150" s="15" t="s">
        <v>387</v>
      </c>
      <c r="B150" s="8"/>
    </row>
    <row r="151" customFormat="false" ht="19.5" hidden="false" customHeight="true" outlineLevel="0" collapsed="false">
      <c r="A151" s="15" t="s">
        <v>388</v>
      </c>
      <c r="B151" s="8"/>
    </row>
    <row r="152" customFormat="false" ht="19.5" hidden="false" customHeight="true" outlineLevel="0" collapsed="false">
      <c r="A152" s="15" t="s">
        <v>389</v>
      </c>
      <c r="B152" s="8"/>
    </row>
    <row r="153" customFormat="false" ht="19.5" hidden="false" customHeight="true" outlineLevel="0" collapsed="false">
      <c r="A153" s="15" t="s">
        <v>390</v>
      </c>
      <c r="B153" s="8"/>
    </row>
    <row r="154" customFormat="false" ht="19.5" hidden="false" customHeight="true" outlineLevel="0" collapsed="false">
      <c r="A154" s="15" t="s">
        <v>391</v>
      </c>
      <c r="B154" s="8"/>
    </row>
    <row r="155" customFormat="false" ht="19.5" hidden="false" customHeight="true" outlineLevel="0" collapsed="false">
      <c r="A155" s="15" t="s">
        <v>392</v>
      </c>
      <c r="B155" s="8"/>
    </row>
    <row r="156" customFormat="false" ht="19.5" hidden="false" customHeight="true" outlineLevel="0" collapsed="false">
      <c r="A156" s="15" t="s">
        <v>393</v>
      </c>
      <c r="B156" s="8"/>
    </row>
    <row r="157" customFormat="false" ht="19.5" hidden="false" customHeight="true" outlineLevel="0" collapsed="false">
      <c r="A157" s="15" t="s">
        <v>394</v>
      </c>
      <c r="B157" s="8"/>
    </row>
    <row r="158" customFormat="false" ht="19.5" hidden="false" customHeight="true" outlineLevel="0" collapsed="false">
      <c r="A158" s="15" t="s">
        <v>395</v>
      </c>
      <c r="B158" s="8"/>
    </row>
    <row r="159" customFormat="false" ht="19.5" hidden="false" customHeight="true" outlineLevel="0" collapsed="false">
      <c r="A159" s="15" t="s">
        <v>396</v>
      </c>
      <c r="B159" s="8"/>
    </row>
    <row r="160" customFormat="false" ht="19.5" hidden="false" customHeight="true" outlineLevel="0" collapsed="false">
      <c r="A160" s="15" t="s">
        <v>397</v>
      </c>
      <c r="B160" s="8"/>
    </row>
    <row r="161" customFormat="false" ht="19.5" hidden="false" customHeight="true" outlineLevel="0" collapsed="false">
      <c r="A161" s="15" t="s">
        <v>398</v>
      </c>
      <c r="B161" s="8"/>
    </row>
    <row r="162" customFormat="false" ht="19.5" hidden="false" customHeight="true" outlineLevel="0" collapsed="false">
      <c r="A162" s="15" t="s">
        <v>399</v>
      </c>
      <c r="B162" s="8"/>
    </row>
    <row r="163" customFormat="false" ht="19.5" hidden="false" customHeight="true" outlineLevel="0" collapsed="false">
      <c r="A163" s="15" t="s">
        <v>400</v>
      </c>
      <c r="B163" s="8"/>
    </row>
    <row r="164" customFormat="false" ht="19.5" hidden="false" customHeight="true" outlineLevel="0" collapsed="false">
      <c r="A164" s="15" t="s">
        <v>401</v>
      </c>
      <c r="B164" s="8"/>
    </row>
    <row r="165" customFormat="false" ht="19.5" hidden="false" customHeight="true" outlineLevel="0" collapsed="false">
      <c r="A165" s="15" t="s">
        <v>402</v>
      </c>
      <c r="B165" s="8"/>
    </row>
    <row r="166" customFormat="false" ht="19.5" hidden="false" customHeight="true" outlineLevel="0" collapsed="false">
      <c r="A166" s="15" t="s">
        <v>403</v>
      </c>
      <c r="B166" s="8"/>
    </row>
    <row r="167" customFormat="false" ht="7.5" hidden="false" customHeight="true" outlineLevel="0" collapsed="false">
      <c r="A167" s="16"/>
      <c r="B167" s="16"/>
    </row>
    <row r="168" customFormat="false" ht="24" hidden="false" customHeight="true" outlineLevel="0" collapsed="false">
      <c r="A168" s="6" t="s">
        <v>404</v>
      </c>
      <c r="B168" s="14"/>
    </row>
    <row r="169" customFormat="false" ht="19.5" hidden="false" customHeight="true" outlineLevel="0" collapsed="false">
      <c r="A169" s="15" t="s">
        <v>405</v>
      </c>
      <c r="B169" s="8"/>
    </row>
    <row r="170" customFormat="false" ht="19.5" hidden="false" customHeight="true" outlineLevel="0" collapsed="false">
      <c r="A170" s="15" t="s">
        <v>406</v>
      </c>
      <c r="B170" s="8"/>
    </row>
    <row r="171" customFormat="false" ht="19.5" hidden="false" customHeight="true" outlineLevel="0" collapsed="false">
      <c r="A171" s="15" t="s">
        <v>407</v>
      </c>
      <c r="B171" s="8"/>
    </row>
    <row r="172" customFormat="false" ht="19.5" hidden="false" customHeight="true" outlineLevel="0" collapsed="false">
      <c r="A172" s="15" t="s">
        <v>408</v>
      </c>
      <c r="B172" s="8"/>
    </row>
    <row r="173" customFormat="false" ht="19.5" hidden="false" customHeight="true" outlineLevel="0" collapsed="false">
      <c r="A173" s="15" t="s">
        <v>409</v>
      </c>
      <c r="B173" s="8"/>
    </row>
    <row r="174" customFormat="false" ht="19.5" hidden="false" customHeight="true" outlineLevel="0" collapsed="false">
      <c r="A174" s="15" t="s">
        <v>410</v>
      </c>
      <c r="B174" s="8"/>
    </row>
    <row r="175" customFormat="false" ht="19.5" hidden="false" customHeight="true" outlineLevel="0" collapsed="false">
      <c r="A175" s="15" t="s">
        <v>411</v>
      </c>
      <c r="B175" s="8"/>
    </row>
    <row r="176" customFormat="false" ht="19.5" hidden="false" customHeight="true" outlineLevel="0" collapsed="false">
      <c r="A176" s="15" t="s">
        <v>412</v>
      </c>
      <c r="B176" s="8"/>
    </row>
    <row r="177" customFormat="false" ht="19.5" hidden="false" customHeight="true" outlineLevel="0" collapsed="false">
      <c r="A177" s="15" t="s">
        <v>413</v>
      </c>
      <c r="B177" s="8"/>
    </row>
    <row r="178" customFormat="false" ht="7.5" hidden="false" customHeight="true" outlineLevel="0" collapsed="false">
      <c r="A178" s="16"/>
      <c r="B178" s="16"/>
    </row>
    <row r="179" customFormat="false" ht="24" hidden="false" customHeight="true" outlineLevel="0" collapsed="false">
      <c r="A179" s="6" t="s">
        <v>414</v>
      </c>
      <c r="B179" s="14"/>
    </row>
    <row r="180" customFormat="false" ht="19.5" hidden="false" customHeight="true" outlineLevel="0" collapsed="false">
      <c r="A180" s="15" t="s">
        <v>415</v>
      </c>
      <c r="B180" s="8"/>
    </row>
    <row r="181" customFormat="false" ht="19.5" hidden="false" customHeight="true" outlineLevel="0" collapsed="false">
      <c r="A181" s="15" t="s">
        <v>416</v>
      </c>
      <c r="B181" s="8"/>
    </row>
    <row r="182" customFormat="false" ht="19.5" hidden="false" customHeight="true" outlineLevel="0" collapsed="false">
      <c r="A182" s="15" t="s">
        <v>417</v>
      </c>
      <c r="B182" s="8"/>
    </row>
    <row r="183" customFormat="false" ht="19.5" hidden="false" customHeight="true" outlineLevel="0" collapsed="false">
      <c r="A183" s="15" t="s">
        <v>418</v>
      </c>
      <c r="B183" s="8"/>
    </row>
    <row r="184" customFormat="false" ht="19.5" hidden="false" customHeight="true" outlineLevel="0" collapsed="false">
      <c r="A184" s="15" t="s">
        <v>419</v>
      </c>
      <c r="B184" s="8"/>
    </row>
    <row r="185" customFormat="false" ht="19.5" hidden="false" customHeight="true" outlineLevel="0" collapsed="false">
      <c r="A185" s="15" t="s">
        <v>420</v>
      </c>
      <c r="B185" s="8"/>
    </row>
    <row r="186" customFormat="false" ht="7.5" hidden="false" customHeight="true" outlineLevel="0" collapsed="false">
      <c r="A186" s="16"/>
      <c r="B186" s="16"/>
    </row>
    <row r="187" customFormat="false" ht="24" hidden="false" customHeight="true" outlineLevel="0" collapsed="false">
      <c r="A187" s="6" t="s">
        <v>421</v>
      </c>
      <c r="B187" s="14"/>
    </row>
    <row r="188" customFormat="false" ht="19.5" hidden="false" customHeight="true" outlineLevel="0" collapsed="false">
      <c r="A188" s="15" t="s">
        <v>422</v>
      </c>
      <c r="B188" s="8"/>
    </row>
    <row r="189" customFormat="false" ht="19.5" hidden="false" customHeight="true" outlineLevel="0" collapsed="false">
      <c r="A189" s="15" t="s">
        <v>423</v>
      </c>
      <c r="B189" s="8"/>
    </row>
    <row r="190" customFormat="false" ht="19.5" hidden="false" customHeight="true" outlineLevel="0" collapsed="false">
      <c r="A190" s="15" t="s">
        <v>424</v>
      </c>
      <c r="B190" s="8"/>
    </row>
    <row r="191" customFormat="false" ht="19.5" hidden="false" customHeight="true" outlineLevel="0" collapsed="false">
      <c r="A191" s="15" t="s">
        <v>425</v>
      </c>
      <c r="B191" s="8"/>
    </row>
    <row r="192" customFormat="false" ht="19.5" hidden="false" customHeight="true" outlineLevel="0" collapsed="false">
      <c r="A192" s="15" t="s">
        <v>426</v>
      </c>
      <c r="B192" s="8"/>
    </row>
    <row r="193" customFormat="false" ht="19.5" hidden="false" customHeight="true" outlineLevel="0" collapsed="false">
      <c r="A193" s="15" t="s">
        <v>427</v>
      </c>
      <c r="B193" s="8"/>
    </row>
    <row r="194" customFormat="false" ht="19.5" hidden="false" customHeight="true" outlineLevel="0" collapsed="false">
      <c r="A194" s="15" t="s">
        <v>428</v>
      </c>
      <c r="B194" s="8"/>
    </row>
    <row r="195" customFormat="false" ht="19.5" hidden="false" customHeight="true" outlineLevel="0" collapsed="false">
      <c r="A195" s="15" t="s">
        <v>429</v>
      </c>
      <c r="B195" s="8"/>
    </row>
    <row r="196" customFormat="false" ht="7.5" hidden="false" customHeight="true" outlineLevel="0" collapsed="false">
      <c r="A196" s="16"/>
      <c r="B196" s="16"/>
    </row>
  </sheetData>
  <conditionalFormatting sqref="B2:B196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"Finding"</formula>
    </cfRule>
    <cfRule type="cellIs" priority="4" operator="equal" aboveAverage="0" equalAverage="0" bottom="0" percent="0" rank="0" text="" dxfId="2">
      <formula>"Investigate"</formula>
    </cfRule>
  </conditionalFormatting>
  <dataValidations count="1">
    <dataValidation allowBlank="true" error="Choose: OK, Finding, or Investigate" errorStyle="stop" errorTitle="Invalid" operator="between" showDropDown="false" showErrorMessage="true" showInputMessage="false" sqref="B3:B9 B12:B23 B26:B34 B37:B99 B102:B107 B110:B116 B119:B125 B128:B145 B148:B166 B169:B177 B180:B185 B188:B195" type="list">
      <formula1>"OK,Finding,Investigate"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8A6FF"/>
    <pageSetUpPr fitToPage="false"/>
  </sheetPr>
  <dimension ref="A1:B1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6"/>
    <col collapsed="false" customWidth="true" hidden="false" outlineLevel="0" max="3" min="3" style="0" width="4"/>
  </cols>
  <sheetData>
    <row r="1" customFormat="false" ht="31.5" hidden="false" customHeight="true" outlineLevel="0" collapsed="false">
      <c r="A1" s="13" t="s">
        <v>430</v>
      </c>
      <c r="B1" s="12" t="s">
        <v>52</v>
      </c>
    </row>
    <row r="2" customFormat="false" ht="24" hidden="false" customHeight="true" outlineLevel="0" collapsed="false">
      <c r="A2" s="6" t="s">
        <v>431</v>
      </c>
      <c r="B2" s="14"/>
    </row>
    <row r="3" customFormat="false" ht="19.5" hidden="false" customHeight="true" outlineLevel="0" collapsed="false">
      <c r="A3" s="15" t="s">
        <v>432</v>
      </c>
      <c r="B3" s="8"/>
    </row>
    <row r="4" customFormat="false" ht="19.5" hidden="false" customHeight="true" outlineLevel="0" collapsed="false">
      <c r="A4" s="15" t="s">
        <v>433</v>
      </c>
      <c r="B4" s="8"/>
    </row>
    <row r="5" customFormat="false" ht="19.5" hidden="false" customHeight="true" outlineLevel="0" collapsed="false">
      <c r="A5" s="15" t="s">
        <v>434</v>
      </c>
      <c r="B5" s="8"/>
    </row>
    <row r="6" customFormat="false" ht="19.5" hidden="false" customHeight="true" outlineLevel="0" collapsed="false">
      <c r="A6" s="15" t="s">
        <v>435</v>
      </c>
      <c r="B6" s="8"/>
    </row>
    <row r="7" customFormat="false" ht="19.5" hidden="false" customHeight="true" outlineLevel="0" collapsed="false">
      <c r="A7" s="15" t="s">
        <v>436</v>
      </c>
      <c r="B7" s="8"/>
    </row>
    <row r="8" customFormat="false" ht="7.5" hidden="false" customHeight="true" outlineLevel="0" collapsed="false">
      <c r="A8" s="16"/>
      <c r="B8" s="16"/>
    </row>
    <row r="9" customFormat="false" ht="24" hidden="false" customHeight="true" outlineLevel="0" collapsed="false">
      <c r="A9" s="6" t="s">
        <v>437</v>
      </c>
      <c r="B9" s="14"/>
    </row>
    <row r="10" customFormat="false" ht="19.5" hidden="false" customHeight="true" outlineLevel="0" collapsed="false">
      <c r="A10" s="15" t="s">
        <v>438</v>
      </c>
      <c r="B10" s="8"/>
    </row>
    <row r="11" customFormat="false" ht="19.5" hidden="false" customHeight="true" outlineLevel="0" collapsed="false">
      <c r="A11" s="15" t="s">
        <v>439</v>
      </c>
      <c r="B11" s="8"/>
    </row>
    <row r="12" customFormat="false" ht="19.5" hidden="false" customHeight="true" outlineLevel="0" collapsed="false">
      <c r="A12" s="15" t="s">
        <v>440</v>
      </c>
      <c r="B12" s="8"/>
    </row>
    <row r="13" customFormat="false" ht="19.5" hidden="false" customHeight="true" outlineLevel="0" collapsed="false">
      <c r="A13" s="15" t="s">
        <v>441</v>
      </c>
      <c r="B13" s="8"/>
    </row>
    <row r="14" customFormat="false" ht="19.5" hidden="false" customHeight="true" outlineLevel="0" collapsed="false">
      <c r="A14" s="15" t="s">
        <v>442</v>
      </c>
      <c r="B14" s="8"/>
    </row>
    <row r="15" customFormat="false" ht="19.5" hidden="false" customHeight="true" outlineLevel="0" collapsed="false">
      <c r="A15" s="15" t="s">
        <v>443</v>
      </c>
      <c r="B15" s="8"/>
    </row>
    <row r="16" customFormat="false" ht="19.5" hidden="false" customHeight="true" outlineLevel="0" collapsed="false">
      <c r="A16" s="15" t="s">
        <v>444</v>
      </c>
      <c r="B16" s="8"/>
    </row>
    <row r="17" customFormat="false" ht="19.5" hidden="false" customHeight="true" outlineLevel="0" collapsed="false">
      <c r="A17" s="15" t="s">
        <v>445</v>
      </c>
      <c r="B17" s="8"/>
    </row>
    <row r="18" customFormat="false" ht="19.5" hidden="false" customHeight="true" outlineLevel="0" collapsed="false">
      <c r="A18" s="15" t="s">
        <v>446</v>
      </c>
      <c r="B18" s="8"/>
    </row>
    <row r="19" customFormat="false" ht="19.5" hidden="false" customHeight="true" outlineLevel="0" collapsed="false">
      <c r="A19" s="15" t="s">
        <v>447</v>
      </c>
      <c r="B19" s="8"/>
    </row>
    <row r="20" customFormat="false" ht="19.5" hidden="false" customHeight="true" outlineLevel="0" collapsed="false">
      <c r="A20" s="15" t="s">
        <v>448</v>
      </c>
      <c r="B20" s="8"/>
    </row>
    <row r="21" customFormat="false" ht="19.5" hidden="false" customHeight="true" outlineLevel="0" collapsed="false">
      <c r="A21" s="15" t="s">
        <v>449</v>
      </c>
      <c r="B21" s="8"/>
    </row>
    <row r="22" customFormat="false" ht="19.5" hidden="false" customHeight="true" outlineLevel="0" collapsed="false">
      <c r="A22" s="15" t="s">
        <v>450</v>
      </c>
      <c r="B22" s="8"/>
    </row>
    <row r="23" customFormat="false" ht="19.5" hidden="false" customHeight="true" outlineLevel="0" collapsed="false">
      <c r="A23" s="15" t="s">
        <v>451</v>
      </c>
      <c r="B23" s="8"/>
    </row>
    <row r="24" customFormat="false" ht="19.5" hidden="false" customHeight="true" outlineLevel="0" collapsed="false">
      <c r="A24" s="15" t="s">
        <v>452</v>
      </c>
      <c r="B24" s="8"/>
    </row>
    <row r="25" customFormat="false" ht="7.5" hidden="false" customHeight="true" outlineLevel="0" collapsed="false">
      <c r="A25" s="16"/>
      <c r="B25" s="16"/>
    </row>
    <row r="26" customFormat="false" ht="24" hidden="false" customHeight="true" outlineLevel="0" collapsed="false">
      <c r="A26" s="6" t="s">
        <v>453</v>
      </c>
      <c r="B26" s="14"/>
    </row>
    <row r="27" customFormat="false" ht="19.5" hidden="false" customHeight="true" outlineLevel="0" collapsed="false">
      <c r="A27" s="15" t="s">
        <v>454</v>
      </c>
      <c r="B27" s="8"/>
    </row>
    <row r="28" customFormat="false" ht="19.5" hidden="false" customHeight="true" outlineLevel="0" collapsed="false">
      <c r="A28" s="15" t="s">
        <v>455</v>
      </c>
      <c r="B28" s="8"/>
    </row>
    <row r="29" customFormat="false" ht="19.5" hidden="false" customHeight="true" outlineLevel="0" collapsed="false">
      <c r="A29" s="15" t="s">
        <v>456</v>
      </c>
      <c r="B29" s="8"/>
    </row>
    <row r="30" customFormat="false" ht="19.5" hidden="false" customHeight="true" outlineLevel="0" collapsed="false">
      <c r="A30" s="15" t="s">
        <v>457</v>
      </c>
      <c r="B30" s="8"/>
    </row>
    <row r="31" customFormat="false" ht="19.5" hidden="false" customHeight="true" outlineLevel="0" collapsed="false">
      <c r="A31" s="15" t="s">
        <v>458</v>
      </c>
      <c r="B31" s="8"/>
    </row>
    <row r="32" customFormat="false" ht="19.5" hidden="false" customHeight="true" outlineLevel="0" collapsed="false">
      <c r="A32" s="15" t="s">
        <v>459</v>
      </c>
      <c r="B32" s="8"/>
    </row>
    <row r="33" customFormat="false" ht="19.5" hidden="false" customHeight="true" outlineLevel="0" collapsed="false">
      <c r="A33" s="15" t="s">
        <v>460</v>
      </c>
      <c r="B33" s="8"/>
    </row>
    <row r="34" customFormat="false" ht="7.5" hidden="false" customHeight="true" outlineLevel="0" collapsed="false">
      <c r="A34" s="16"/>
      <c r="B34" s="16"/>
    </row>
    <row r="35" customFormat="false" ht="24" hidden="false" customHeight="true" outlineLevel="0" collapsed="false">
      <c r="A35" s="6" t="s">
        <v>461</v>
      </c>
      <c r="B35" s="14"/>
    </row>
    <row r="36" customFormat="false" ht="19.5" hidden="false" customHeight="true" outlineLevel="0" collapsed="false">
      <c r="A36" s="15" t="s">
        <v>462</v>
      </c>
      <c r="B36" s="8"/>
    </row>
    <row r="37" customFormat="false" ht="19.5" hidden="false" customHeight="true" outlineLevel="0" collapsed="false">
      <c r="A37" s="15" t="s">
        <v>463</v>
      </c>
      <c r="B37" s="8"/>
    </row>
    <row r="38" customFormat="false" ht="19.5" hidden="false" customHeight="true" outlineLevel="0" collapsed="false">
      <c r="A38" s="15" t="s">
        <v>464</v>
      </c>
      <c r="B38" s="8"/>
    </row>
    <row r="39" customFormat="false" ht="19.5" hidden="false" customHeight="true" outlineLevel="0" collapsed="false">
      <c r="A39" s="15" t="s">
        <v>465</v>
      </c>
      <c r="B39" s="8"/>
    </row>
    <row r="40" customFormat="false" ht="19.5" hidden="false" customHeight="true" outlineLevel="0" collapsed="false">
      <c r="A40" s="15" t="s">
        <v>466</v>
      </c>
      <c r="B40" s="8"/>
    </row>
    <row r="41" customFormat="false" ht="19.5" hidden="false" customHeight="true" outlineLevel="0" collapsed="false">
      <c r="A41" s="15" t="s">
        <v>467</v>
      </c>
      <c r="B41" s="8"/>
    </row>
    <row r="42" customFormat="false" ht="19.5" hidden="false" customHeight="true" outlineLevel="0" collapsed="false">
      <c r="A42" s="15" t="s">
        <v>468</v>
      </c>
      <c r="B42" s="8"/>
    </row>
    <row r="43" customFormat="false" ht="19.5" hidden="false" customHeight="true" outlineLevel="0" collapsed="false">
      <c r="A43" s="15" t="s">
        <v>469</v>
      </c>
      <c r="B43" s="8"/>
    </row>
    <row r="44" customFormat="false" ht="19.5" hidden="false" customHeight="true" outlineLevel="0" collapsed="false">
      <c r="A44" s="15" t="s">
        <v>470</v>
      </c>
      <c r="B44" s="8"/>
    </row>
    <row r="45" customFormat="false" ht="19.5" hidden="false" customHeight="true" outlineLevel="0" collapsed="false">
      <c r="A45" s="15" t="s">
        <v>471</v>
      </c>
      <c r="B45" s="8"/>
    </row>
    <row r="46" customFormat="false" ht="19.5" hidden="false" customHeight="true" outlineLevel="0" collapsed="false">
      <c r="A46" s="15" t="s">
        <v>472</v>
      </c>
      <c r="B46" s="8"/>
    </row>
    <row r="47" customFormat="false" ht="19.5" hidden="false" customHeight="true" outlineLevel="0" collapsed="false">
      <c r="A47" s="15" t="s">
        <v>473</v>
      </c>
      <c r="B47" s="8"/>
    </row>
    <row r="48" customFormat="false" ht="19.5" hidden="false" customHeight="true" outlineLevel="0" collapsed="false">
      <c r="A48" s="15" t="s">
        <v>474</v>
      </c>
      <c r="B48" s="8"/>
    </row>
    <row r="49" customFormat="false" ht="19.5" hidden="false" customHeight="true" outlineLevel="0" collapsed="false">
      <c r="A49" s="15" t="s">
        <v>475</v>
      </c>
      <c r="B49" s="8"/>
    </row>
    <row r="50" customFormat="false" ht="19.5" hidden="false" customHeight="true" outlineLevel="0" collapsed="false">
      <c r="A50" s="15" t="s">
        <v>476</v>
      </c>
      <c r="B50" s="8"/>
    </row>
    <row r="51" customFormat="false" ht="19.5" hidden="false" customHeight="true" outlineLevel="0" collapsed="false">
      <c r="A51" s="15" t="s">
        <v>477</v>
      </c>
      <c r="B51" s="8"/>
    </row>
    <row r="52" customFormat="false" ht="19.5" hidden="false" customHeight="true" outlineLevel="0" collapsed="false">
      <c r="A52" s="15" t="s">
        <v>478</v>
      </c>
      <c r="B52" s="8"/>
    </row>
    <row r="53" customFormat="false" ht="7.5" hidden="false" customHeight="true" outlineLevel="0" collapsed="false">
      <c r="A53" s="16"/>
      <c r="B53" s="16"/>
    </row>
    <row r="54" customFormat="false" ht="24" hidden="false" customHeight="true" outlineLevel="0" collapsed="false">
      <c r="A54" s="6" t="s">
        <v>479</v>
      </c>
      <c r="B54" s="14"/>
    </row>
    <row r="55" customFormat="false" ht="19.5" hidden="false" customHeight="true" outlineLevel="0" collapsed="false">
      <c r="A55" s="15" t="s">
        <v>480</v>
      </c>
      <c r="B55" s="8"/>
    </row>
    <row r="56" customFormat="false" ht="19.5" hidden="false" customHeight="true" outlineLevel="0" collapsed="false">
      <c r="A56" s="15" t="s">
        <v>481</v>
      </c>
      <c r="B56" s="8"/>
    </row>
    <row r="57" customFormat="false" ht="19.5" hidden="false" customHeight="true" outlineLevel="0" collapsed="false">
      <c r="A57" s="15" t="s">
        <v>482</v>
      </c>
      <c r="B57" s="8"/>
    </row>
    <row r="58" customFormat="false" ht="19.5" hidden="false" customHeight="true" outlineLevel="0" collapsed="false">
      <c r="A58" s="15" t="s">
        <v>483</v>
      </c>
      <c r="B58" s="8"/>
    </row>
    <row r="59" customFormat="false" ht="19.5" hidden="false" customHeight="true" outlineLevel="0" collapsed="false">
      <c r="A59" s="15" t="s">
        <v>484</v>
      </c>
      <c r="B59" s="8"/>
    </row>
    <row r="60" customFormat="false" ht="19.5" hidden="false" customHeight="true" outlineLevel="0" collapsed="false">
      <c r="A60" s="15" t="s">
        <v>485</v>
      </c>
      <c r="B60" s="8"/>
    </row>
    <row r="61" customFormat="false" ht="19.5" hidden="false" customHeight="true" outlineLevel="0" collapsed="false">
      <c r="A61" s="15" t="s">
        <v>486</v>
      </c>
      <c r="B61" s="8"/>
    </row>
    <row r="62" customFormat="false" ht="19.5" hidden="false" customHeight="true" outlineLevel="0" collapsed="false">
      <c r="A62" s="15" t="s">
        <v>487</v>
      </c>
      <c r="B62" s="8"/>
    </row>
    <row r="63" customFormat="false" ht="19.5" hidden="false" customHeight="true" outlineLevel="0" collapsed="false">
      <c r="A63" s="15" t="s">
        <v>488</v>
      </c>
      <c r="B63" s="8"/>
    </row>
    <row r="64" customFormat="false" ht="19.5" hidden="false" customHeight="true" outlineLevel="0" collapsed="false">
      <c r="A64" s="15" t="s">
        <v>489</v>
      </c>
      <c r="B64" s="8"/>
    </row>
    <row r="65" customFormat="false" ht="19.5" hidden="false" customHeight="true" outlineLevel="0" collapsed="false">
      <c r="A65" s="15" t="s">
        <v>490</v>
      </c>
      <c r="B65" s="8"/>
    </row>
    <row r="66" customFormat="false" ht="19.5" hidden="false" customHeight="true" outlineLevel="0" collapsed="false">
      <c r="A66" s="15" t="s">
        <v>491</v>
      </c>
      <c r="B66" s="8"/>
    </row>
    <row r="67" customFormat="false" ht="19.5" hidden="false" customHeight="true" outlineLevel="0" collapsed="false">
      <c r="A67" s="15" t="s">
        <v>492</v>
      </c>
      <c r="B67" s="8"/>
    </row>
    <row r="68" customFormat="false" ht="19.5" hidden="false" customHeight="true" outlineLevel="0" collapsed="false">
      <c r="A68" s="15" t="s">
        <v>493</v>
      </c>
      <c r="B68" s="8"/>
    </row>
    <row r="69" customFormat="false" ht="7.5" hidden="false" customHeight="true" outlineLevel="0" collapsed="false">
      <c r="A69" s="16"/>
      <c r="B69" s="16"/>
    </row>
    <row r="70" customFormat="false" ht="24" hidden="false" customHeight="true" outlineLevel="0" collapsed="false">
      <c r="A70" s="6" t="s">
        <v>494</v>
      </c>
      <c r="B70" s="14"/>
    </row>
    <row r="71" customFormat="false" ht="19.5" hidden="false" customHeight="true" outlineLevel="0" collapsed="false">
      <c r="A71" s="15" t="s">
        <v>495</v>
      </c>
      <c r="B71" s="8"/>
    </row>
    <row r="72" customFormat="false" ht="19.5" hidden="false" customHeight="true" outlineLevel="0" collapsed="false">
      <c r="A72" s="15" t="s">
        <v>496</v>
      </c>
      <c r="B72" s="8"/>
    </row>
    <row r="73" customFormat="false" ht="19.5" hidden="false" customHeight="true" outlineLevel="0" collapsed="false">
      <c r="A73" s="15" t="s">
        <v>497</v>
      </c>
      <c r="B73" s="8"/>
    </row>
    <row r="74" customFormat="false" ht="19.5" hidden="false" customHeight="true" outlineLevel="0" collapsed="false">
      <c r="A74" s="15" t="s">
        <v>498</v>
      </c>
      <c r="B74" s="8"/>
    </row>
    <row r="75" customFormat="false" ht="19.5" hidden="false" customHeight="true" outlineLevel="0" collapsed="false">
      <c r="A75" s="15" t="s">
        <v>499</v>
      </c>
      <c r="B75" s="8"/>
    </row>
    <row r="76" customFormat="false" ht="19.5" hidden="false" customHeight="true" outlineLevel="0" collapsed="false">
      <c r="A76" s="15" t="s">
        <v>500</v>
      </c>
      <c r="B76" s="8"/>
    </row>
    <row r="77" customFormat="false" ht="19.5" hidden="false" customHeight="true" outlineLevel="0" collapsed="false">
      <c r="A77" s="15" t="s">
        <v>501</v>
      </c>
      <c r="B77" s="8"/>
    </row>
    <row r="78" customFormat="false" ht="19.5" hidden="false" customHeight="true" outlineLevel="0" collapsed="false">
      <c r="A78" s="15" t="s">
        <v>502</v>
      </c>
      <c r="B78" s="8"/>
    </row>
    <row r="79" customFormat="false" ht="19.5" hidden="false" customHeight="true" outlineLevel="0" collapsed="false">
      <c r="A79" s="15" t="s">
        <v>503</v>
      </c>
      <c r="B79" s="8"/>
    </row>
    <row r="80" customFormat="false" ht="19.5" hidden="false" customHeight="true" outlineLevel="0" collapsed="false">
      <c r="A80" s="15" t="s">
        <v>504</v>
      </c>
      <c r="B80" s="8"/>
    </row>
    <row r="81" customFormat="false" ht="7.5" hidden="false" customHeight="true" outlineLevel="0" collapsed="false">
      <c r="A81" s="16"/>
      <c r="B81" s="16"/>
    </row>
    <row r="82" customFormat="false" ht="24" hidden="false" customHeight="true" outlineLevel="0" collapsed="false">
      <c r="A82" s="6" t="s">
        <v>505</v>
      </c>
      <c r="B82" s="14"/>
    </row>
    <row r="83" customFormat="false" ht="19.5" hidden="false" customHeight="true" outlineLevel="0" collapsed="false">
      <c r="A83" s="15" t="s">
        <v>506</v>
      </c>
      <c r="B83" s="8"/>
    </row>
    <row r="84" customFormat="false" ht="19.5" hidden="false" customHeight="true" outlineLevel="0" collapsed="false">
      <c r="A84" s="15" t="s">
        <v>507</v>
      </c>
      <c r="B84" s="8"/>
    </row>
    <row r="85" customFormat="false" ht="19.5" hidden="false" customHeight="true" outlineLevel="0" collapsed="false">
      <c r="A85" s="15" t="s">
        <v>508</v>
      </c>
      <c r="B85" s="8"/>
    </row>
    <row r="86" customFormat="false" ht="19.5" hidden="false" customHeight="true" outlineLevel="0" collapsed="false">
      <c r="A86" s="15" t="s">
        <v>509</v>
      </c>
      <c r="B86" s="8"/>
    </row>
    <row r="87" customFormat="false" ht="19.5" hidden="false" customHeight="true" outlineLevel="0" collapsed="false">
      <c r="A87" s="15" t="s">
        <v>510</v>
      </c>
      <c r="B87" s="8"/>
    </row>
    <row r="88" customFormat="false" ht="19.5" hidden="false" customHeight="true" outlineLevel="0" collapsed="false">
      <c r="A88" s="15" t="s">
        <v>511</v>
      </c>
      <c r="B88" s="8"/>
    </row>
    <row r="89" customFormat="false" ht="19.5" hidden="false" customHeight="true" outlineLevel="0" collapsed="false">
      <c r="A89" s="15" t="s">
        <v>512</v>
      </c>
      <c r="B89" s="8"/>
    </row>
    <row r="90" customFormat="false" ht="19.5" hidden="false" customHeight="true" outlineLevel="0" collapsed="false">
      <c r="A90" s="15" t="s">
        <v>513</v>
      </c>
      <c r="B90" s="8"/>
    </row>
    <row r="91" customFormat="false" ht="19.5" hidden="false" customHeight="true" outlineLevel="0" collapsed="false">
      <c r="A91" s="15" t="s">
        <v>514</v>
      </c>
      <c r="B91" s="8"/>
    </row>
    <row r="92" customFormat="false" ht="19.5" hidden="false" customHeight="true" outlineLevel="0" collapsed="false">
      <c r="A92" s="15" t="s">
        <v>515</v>
      </c>
      <c r="B92" s="8"/>
    </row>
    <row r="93" customFormat="false" ht="19.5" hidden="false" customHeight="true" outlineLevel="0" collapsed="false">
      <c r="A93" s="15" t="s">
        <v>516</v>
      </c>
      <c r="B93" s="8"/>
    </row>
    <row r="94" customFormat="false" ht="19.5" hidden="false" customHeight="true" outlineLevel="0" collapsed="false">
      <c r="A94" s="15" t="s">
        <v>517</v>
      </c>
      <c r="B94" s="8"/>
    </row>
    <row r="95" customFormat="false" ht="19.5" hidden="false" customHeight="true" outlineLevel="0" collapsed="false">
      <c r="A95" s="15" t="s">
        <v>518</v>
      </c>
      <c r="B95" s="8"/>
    </row>
    <row r="96" customFormat="false" ht="19.5" hidden="false" customHeight="true" outlineLevel="0" collapsed="false">
      <c r="A96" s="15" t="s">
        <v>519</v>
      </c>
      <c r="B96" s="8"/>
    </row>
    <row r="97" customFormat="false" ht="7.5" hidden="false" customHeight="true" outlineLevel="0" collapsed="false">
      <c r="A97" s="16"/>
      <c r="B97" s="16"/>
    </row>
    <row r="98" customFormat="false" ht="24" hidden="false" customHeight="true" outlineLevel="0" collapsed="false">
      <c r="A98" s="6" t="s">
        <v>520</v>
      </c>
      <c r="B98" s="14"/>
    </row>
    <row r="99" customFormat="false" ht="19.5" hidden="false" customHeight="true" outlineLevel="0" collapsed="false">
      <c r="A99" s="15" t="s">
        <v>521</v>
      </c>
      <c r="B99" s="8"/>
    </row>
    <row r="100" customFormat="false" ht="19.5" hidden="false" customHeight="true" outlineLevel="0" collapsed="false">
      <c r="A100" s="15" t="s">
        <v>522</v>
      </c>
      <c r="B100" s="8"/>
    </row>
    <row r="101" customFormat="false" ht="19.5" hidden="false" customHeight="true" outlineLevel="0" collapsed="false">
      <c r="A101" s="15" t="s">
        <v>523</v>
      </c>
      <c r="B101" s="8"/>
    </row>
    <row r="102" customFormat="false" ht="19.5" hidden="false" customHeight="true" outlineLevel="0" collapsed="false">
      <c r="A102" s="15" t="s">
        <v>524</v>
      </c>
      <c r="B102" s="8"/>
    </row>
    <row r="103" customFormat="false" ht="19.5" hidden="false" customHeight="true" outlineLevel="0" collapsed="false">
      <c r="A103" s="15" t="s">
        <v>525</v>
      </c>
      <c r="B103" s="8"/>
    </row>
    <row r="104" customFormat="false" ht="19.5" hidden="false" customHeight="true" outlineLevel="0" collapsed="false">
      <c r="A104" s="15" t="s">
        <v>526</v>
      </c>
      <c r="B104" s="8"/>
    </row>
    <row r="105" customFormat="false" ht="19.5" hidden="false" customHeight="true" outlineLevel="0" collapsed="false">
      <c r="A105" s="15" t="s">
        <v>527</v>
      </c>
      <c r="B105" s="8"/>
    </row>
    <row r="106" customFormat="false" ht="19.5" hidden="false" customHeight="true" outlineLevel="0" collapsed="false">
      <c r="A106" s="15" t="s">
        <v>528</v>
      </c>
      <c r="B106" s="8"/>
    </row>
    <row r="107" customFormat="false" ht="19.5" hidden="false" customHeight="true" outlineLevel="0" collapsed="false">
      <c r="A107" s="15" t="s">
        <v>529</v>
      </c>
      <c r="B107" s="8"/>
    </row>
    <row r="108" customFormat="false" ht="19.5" hidden="false" customHeight="true" outlineLevel="0" collapsed="false">
      <c r="A108" s="15" t="s">
        <v>530</v>
      </c>
      <c r="B108" s="8"/>
    </row>
    <row r="109" customFormat="false" ht="19.5" hidden="false" customHeight="true" outlineLevel="0" collapsed="false">
      <c r="A109" s="15" t="s">
        <v>531</v>
      </c>
      <c r="B109" s="8"/>
    </row>
    <row r="110" customFormat="false" ht="19.5" hidden="false" customHeight="true" outlineLevel="0" collapsed="false">
      <c r="A110" s="15" t="s">
        <v>532</v>
      </c>
      <c r="B110" s="8"/>
    </row>
    <row r="111" customFormat="false" ht="7.5" hidden="false" customHeight="true" outlineLevel="0" collapsed="false">
      <c r="A111" s="16"/>
      <c r="B111" s="16"/>
    </row>
    <row r="112" customFormat="false" ht="24" hidden="false" customHeight="true" outlineLevel="0" collapsed="false">
      <c r="A112" s="6" t="s">
        <v>404</v>
      </c>
      <c r="B112" s="14"/>
    </row>
    <row r="113" customFormat="false" ht="19.5" hidden="false" customHeight="true" outlineLevel="0" collapsed="false">
      <c r="A113" s="15" t="s">
        <v>533</v>
      </c>
      <c r="B113" s="8"/>
    </row>
    <row r="114" customFormat="false" ht="19.5" hidden="false" customHeight="true" outlineLevel="0" collapsed="false">
      <c r="A114" s="15" t="s">
        <v>534</v>
      </c>
      <c r="B114" s="8"/>
    </row>
    <row r="115" customFormat="false" ht="19.5" hidden="false" customHeight="true" outlineLevel="0" collapsed="false">
      <c r="A115" s="15" t="s">
        <v>535</v>
      </c>
      <c r="B115" s="8"/>
    </row>
    <row r="116" customFormat="false" ht="19.5" hidden="false" customHeight="true" outlineLevel="0" collapsed="false">
      <c r="A116" s="15" t="s">
        <v>536</v>
      </c>
      <c r="B116" s="8"/>
    </row>
    <row r="117" customFormat="false" ht="19.5" hidden="false" customHeight="true" outlineLevel="0" collapsed="false">
      <c r="A117" s="15" t="s">
        <v>537</v>
      </c>
      <c r="B117" s="8"/>
    </row>
    <row r="118" customFormat="false" ht="19.5" hidden="false" customHeight="true" outlineLevel="0" collapsed="false">
      <c r="A118" s="15" t="s">
        <v>538</v>
      </c>
      <c r="B118" s="8"/>
    </row>
    <row r="119" customFormat="false" ht="19.5" hidden="false" customHeight="true" outlineLevel="0" collapsed="false">
      <c r="A119" s="15" t="s">
        <v>539</v>
      </c>
      <c r="B119" s="8"/>
    </row>
    <row r="120" customFormat="false" ht="19.5" hidden="false" customHeight="true" outlineLevel="0" collapsed="false">
      <c r="A120" s="15" t="s">
        <v>540</v>
      </c>
      <c r="B120" s="8"/>
    </row>
    <row r="121" customFormat="false" ht="19.5" hidden="false" customHeight="true" outlineLevel="0" collapsed="false">
      <c r="A121" s="15" t="s">
        <v>541</v>
      </c>
      <c r="B121" s="8"/>
    </row>
    <row r="122" customFormat="false" ht="19.5" hidden="false" customHeight="true" outlineLevel="0" collapsed="false">
      <c r="A122" s="15" t="s">
        <v>542</v>
      </c>
      <c r="B122" s="8"/>
    </row>
    <row r="123" customFormat="false" ht="7.5" hidden="false" customHeight="true" outlineLevel="0" collapsed="false">
      <c r="A123" s="16"/>
      <c r="B123" s="16"/>
    </row>
    <row r="124" customFormat="false" ht="24" hidden="false" customHeight="true" outlineLevel="0" collapsed="false">
      <c r="A124" s="6" t="s">
        <v>543</v>
      </c>
      <c r="B124" s="14"/>
    </row>
    <row r="125" customFormat="false" ht="19.5" hidden="false" customHeight="true" outlineLevel="0" collapsed="false">
      <c r="A125" s="15" t="s">
        <v>544</v>
      </c>
      <c r="B125" s="8"/>
    </row>
    <row r="126" customFormat="false" ht="19.5" hidden="false" customHeight="true" outlineLevel="0" collapsed="false">
      <c r="A126" s="15" t="s">
        <v>545</v>
      </c>
      <c r="B126" s="8"/>
    </row>
    <row r="127" customFormat="false" ht="19.5" hidden="false" customHeight="true" outlineLevel="0" collapsed="false">
      <c r="A127" s="15" t="s">
        <v>546</v>
      </c>
      <c r="B127" s="8"/>
    </row>
    <row r="128" customFormat="false" ht="19.5" hidden="false" customHeight="true" outlineLevel="0" collapsed="false">
      <c r="A128" s="15" t="s">
        <v>547</v>
      </c>
      <c r="B128" s="8"/>
    </row>
    <row r="129" customFormat="false" ht="19.5" hidden="false" customHeight="true" outlineLevel="0" collapsed="false">
      <c r="A129" s="15" t="s">
        <v>548</v>
      </c>
      <c r="B129" s="8"/>
    </row>
    <row r="130" customFormat="false" ht="19.5" hidden="false" customHeight="true" outlineLevel="0" collapsed="false">
      <c r="A130" s="15" t="s">
        <v>549</v>
      </c>
      <c r="B130" s="8"/>
    </row>
    <row r="131" customFormat="false" ht="19.5" hidden="false" customHeight="true" outlineLevel="0" collapsed="false">
      <c r="A131" s="15" t="s">
        <v>550</v>
      </c>
      <c r="B131" s="8"/>
    </row>
    <row r="132" customFormat="false" ht="19.5" hidden="false" customHeight="true" outlineLevel="0" collapsed="false">
      <c r="A132" s="15" t="s">
        <v>551</v>
      </c>
      <c r="B132" s="8"/>
    </row>
    <row r="133" customFormat="false" ht="19.5" hidden="false" customHeight="true" outlineLevel="0" collapsed="false">
      <c r="A133" s="15" t="s">
        <v>552</v>
      </c>
      <c r="B133" s="8"/>
    </row>
    <row r="134" customFormat="false" ht="7.5" hidden="false" customHeight="true" outlineLevel="0" collapsed="false">
      <c r="A134" s="16"/>
      <c r="B134" s="16"/>
    </row>
    <row r="135" customFormat="false" ht="24" hidden="false" customHeight="true" outlineLevel="0" collapsed="false">
      <c r="A135" s="6" t="s">
        <v>553</v>
      </c>
      <c r="B135" s="14"/>
    </row>
    <row r="136" customFormat="false" ht="19.5" hidden="false" customHeight="true" outlineLevel="0" collapsed="false">
      <c r="A136" s="15" t="s">
        <v>554</v>
      </c>
      <c r="B136" s="8"/>
    </row>
    <row r="137" customFormat="false" ht="19.5" hidden="false" customHeight="true" outlineLevel="0" collapsed="false">
      <c r="A137" s="15" t="s">
        <v>555</v>
      </c>
      <c r="B137" s="8"/>
    </row>
    <row r="138" customFormat="false" ht="19.5" hidden="false" customHeight="true" outlineLevel="0" collapsed="false">
      <c r="A138" s="15" t="s">
        <v>556</v>
      </c>
      <c r="B138" s="8"/>
    </row>
    <row r="139" customFormat="false" ht="19.5" hidden="false" customHeight="true" outlineLevel="0" collapsed="false">
      <c r="A139" s="15" t="s">
        <v>557</v>
      </c>
      <c r="B139" s="8"/>
    </row>
    <row r="140" customFormat="false" ht="19.5" hidden="false" customHeight="true" outlineLevel="0" collapsed="false">
      <c r="A140" s="15" t="s">
        <v>558</v>
      </c>
      <c r="B140" s="8"/>
    </row>
    <row r="141" customFormat="false" ht="19.5" hidden="false" customHeight="true" outlineLevel="0" collapsed="false">
      <c r="A141" s="15" t="s">
        <v>559</v>
      </c>
      <c r="B141" s="8"/>
    </row>
    <row r="142" customFormat="false" ht="19.5" hidden="false" customHeight="true" outlineLevel="0" collapsed="false">
      <c r="A142" s="15" t="s">
        <v>560</v>
      </c>
      <c r="B142" s="8"/>
    </row>
    <row r="143" customFormat="false" ht="19.5" hidden="false" customHeight="true" outlineLevel="0" collapsed="false">
      <c r="A143" s="15" t="s">
        <v>561</v>
      </c>
      <c r="B143" s="8"/>
    </row>
    <row r="144" customFormat="false" ht="7.5" hidden="false" customHeight="true" outlineLevel="0" collapsed="false">
      <c r="A144" s="16"/>
      <c r="B144" s="16"/>
    </row>
    <row r="145" customFormat="false" ht="24" hidden="false" customHeight="true" outlineLevel="0" collapsed="false">
      <c r="A145" s="6" t="s">
        <v>562</v>
      </c>
      <c r="B145" s="14"/>
    </row>
    <row r="146" customFormat="false" ht="19.5" hidden="false" customHeight="true" outlineLevel="0" collapsed="false">
      <c r="A146" s="15" t="s">
        <v>563</v>
      </c>
      <c r="B146" s="8"/>
    </row>
    <row r="147" customFormat="false" ht="19.5" hidden="false" customHeight="true" outlineLevel="0" collapsed="false">
      <c r="A147" s="15" t="s">
        <v>564</v>
      </c>
      <c r="B147" s="8"/>
    </row>
    <row r="148" customFormat="false" ht="19.5" hidden="false" customHeight="true" outlineLevel="0" collapsed="false">
      <c r="A148" s="15" t="s">
        <v>565</v>
      </c>
      <c r="B148" s="8"/>
    </row>
    <row r="149" customFormat="false" ht="19.5" hidden="false" customHeight="true" outlineLevel="0" collapsed="false">
      <c r="A149" s="15" t="s">
        <v>566</v>
      </c>
      <c r="B149" s="8"/>
    </row>
    <row r="150" customFormat="false" ht="19.5" hidden="false" customHeight="true" outlineLevel="0" collapsed="false">
      <c r="A150" s="15" t="s">
        <v>567</v>
      </c>
      <c r="B150" s="8"/>
    </row>
    <row r="151" customFormat="false" ht="19.5" hidden="false" customHeight="true" outlineLevel="0" collapsed="false">
      <c r="A151" s="15" t="s">
        <v>568</v>
      </c>
      <c r="B151" s="8"/>
    </row>
    <row r="152" customFormat="false" ht="19.5" hidden="false" customHeight="true" outlineLevel="0" collapsed="false">
      <c r="A152" s="15" t="s">
        <v>569</v>
      </c>
      <c r="B152" s="8"/>
    </row>
    <row r="153" customFormat="false" ht="7.5" hidden="false" customHeight="true" outlineLevel="0" collapsed="false">
      <c r="A153" s="16"/>
      <c r="B153" s="16"/>
    </row>
    <row r="154" customFormat="false" ht="24" hidden="false" customHeight="true" outlineLevel="0" collapsed="false">
      <c r="A154" s="6" t="s">
        <v>570</v>
      </c>
      <c r="B154" s="14"/>
    </row>
    <row r="155" customFormat="false" ht="7.5" hidden="false" customHeight="true" outlineLevel="0" collapsed="false">
      <c r="A155" s="16"/>
      <c r="B155" s="16"/>
    </row>
  </sheetData>
  <conditionalFormatting sqref="B2:B155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"Finding"</formula>
    </cfRule>
    <cfRule type="cellIs" priority="4" operator="equal" aboveAverage="0" equalAverage="0" bottom="0" percent="0" rank="0" text="" dxfId="2">
      <formula>"Investigate"</formula>
    </cfRule>
  </conditionalFormatting>
  <dataValidations count="1">
    <dataValidation allowBlank="true" error="Choose: OK, Finding, or Investigate" errorStyle="stop" errorTitle="Invalid" operator="between" showDropDown="false" showErrorMessage="true" showInputMessage="false" sqref="B3:B7 B10:B24 B27:B33 B36:B52 B55:B68 B71:B80 B83:B96 B99:B110 B113:B122 B125:B133 B136:B143 B146:B152" type="list">
      <formula1>"OK,Finding,Investigate"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2026-03-28T23:04:00Z</dcterms:created>
  <dc:creator>openpyxl</dc:creator>
  <dc:description/>
  <dc:language>en-US</dc:language>
  <cp:lastModifiedBy/>
  <dcterms:modified xsi:type="dcterms:W3CDTF">2026-03-28T23:04:04Z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